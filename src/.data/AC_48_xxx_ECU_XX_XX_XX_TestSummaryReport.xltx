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CAD\Workspace\HILSimulator\HIL_Tools\TestCase_RawResult_Manager\.data\"/>
    </mc:Choice>
  </mc:AlternateContent>
  <bookViews>
    <workbookView xWindow="0" yWindow="0" windowWidth="11490" windowHeight="9330" tabRatio="851"/>
  </bookViews>
  <sheets>
    <sheet name="_Summary" sheetId="1" r:id="rId1"/>
    <sheet name="Release note" sheetId="2" r:id="rId2"/>
    <sheet name="Environment and tools" sheetId="3" r:id="rId3"/>
  </sheets>
  <definedNames>
    <definedName name="_xlnm._FilterDatabase" localSheetId="0" hidden="1">_Summary!$J$46:$R$47</definedName>
    <definedName name="_xlnm.Print_Area" localSheetId="0">_Summary!$A:$I</definedName>
    <definedName name="_xlnm.Print_Area" localSheetId="1">'Release note'!$A:$I</definedName>
    <definedName name="_xlnm.Print_Titles" localSheetId="0">_Summary!$1:$1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1" l="1"/>
  <c r="M9" i="1"/>
  <c r="O10" i="1"/>
  <c r="O8" i="1"/>
  <c r="M10" i="1"/>
  <c r="Q8" i="1"/>
  <c r="Q9" i="1"/>
  <c r="O9" i="1"/>
  <c r="Q10" i="1"/>
  <c r="M8" i="1"/>
  <c r="D22" i="1" l="1"/>
  <c r="O7" i="1"/>
  <c r="D24" i="1"/>
  <c r="D29" i="1"/>
  <c r="D23" i="1"/>
  <c r="D17" i="1"/>
  <c r="M7" i="1"/>
  <c r="D19" i="1"/>
  <c r="D28" i="1"/>
  <c r="Q7" i="1"/>
  <c r="D27" i="1"/>
  <c r="D18" i="1"/>
  <c r="B32" i="1" l="1"/>
  <c r="B17" i="1"/>
  <c r="N10" i="1"/>
  <c r="F19" i="1" s="1"/>
  <c r="N8" i="1"/>
  <c r="F17" i="1" s="1"/>
  <c r="N9" i="1"/>
  <c r="F18" i="1" s="1"/>
  <c r="R10" i="1"/>
  <c r="F29" i="1" s="1"/>
  <c r="B27" i="1"/>
  <c r="R9" i="1"/>
  <c r="F28" i="1" s="1"/>
  <c r="R8" i="1"/>
  <c r="F27" i="1" s="1"/>
  <c r="P9" i="1"/>
  <c r="F23" i="1" s="1"/>
  <c r="P10" i="1"/>
  <c r="F24" i="1" s="1"/>
  <c r="B22" i="1"/>
  <c r="P8" i="1"/>
  <c r="F22" i="1" s="1"/>
</calcChain>
</file>

<file path=xl/comments1.xml><?xml version="1.0" encoding="utf-8"?>
<comments xmlns="http://schemas.openxmlformats.org/spreadsheetml/2006/main">
  <authors>
    <author>Cereghetti Alex (LMB)</author>
  </authors>
  <commentList>
    <comment ref="E7" authorId="0" shapeId="0">
      <text>
        <r>
          <rPr>
            <b/>
            <sz val="9"/>
            <color indexed="81"/>
            <rFont val="Tahoma"/>
            <family val="2"/>
          </rPr>
          <t>Cereghetti Alex (LMB):</t>
        </r>
        <r>
          <rPr>
            <sz val="9"/>
            <color indexed="81"/>
            <rFont val="Tahoma"/>
            <family val="2"/>
          </rPr>
          <t xml:space="preserve">
Write only the number of software.
I.E: 21.12.00
without the status DEV or BETA or RC</t>
        </r>
      </text>
    </comment>
  </commentList>
</comments>
</file>

<file path=xl/comments2.xml><?xml version="1.0" encoding="utf-8"?>
<comments xmlns="http://schemas.openxmlformats.org/spreadsheetml/2006/main">
  <authors>
    <author>Cereghetti Alex (LMB)</author>
  </authors>
  <commentList>
    <comment ref="L2" authorId="0" shapeId="0">
      <text>
        <r>
          <rPr>
            <sz val="9"/>
            <color indexed="81"/>
            <rFont val="Tahoma"/>
            <family val="2"/>
          </rPr>
          <t>Choose from dropdown list</t>
        </r>
      </text>
    </comment>
  </commentList>
</comments>
</file>

<file path=xl/comments3.xml><?xml version="1.0" encoding="utf-8"?>
<comments xmlns="http://schemas.openxmlformats.org/spreadsheetml/2006/main">
  <authors>
    <author>Cereghetti Alex (LMB)</author>
  </authors>
  <commentList>
    <comment ref="A20" authorId="0" shapeId="0">
      <text>
        <r>
          <rPr>
            <sz val="9"/>
            <color indexed="81"/>
            <rFont val="Tahoma"/>
            <family val="2"/>
          </rPr>
          <t xml:space="preserve">Only for ECU3 project
</t>
        </r>
      </text>
    </comment>
  </commentList>
</comments>
</file>

<file path=xl/sharedStrings.xml><?xml version="1.0" encoding="utf-8"?>
<sst xmlns="http://schemas.openxmlformats.org/spreadsheetml/2006/main" count="89" uniqueCount="63">
  <si>
    <t>Released for</t>
  </si>
  <si>
    <t>Release comments</t>
  </si>
  <si>
    <t>Test Summary Report</t>
  </si>
  <si>
    <t>Items</t>
  </si>
  <si>
    <t>Reference</t>
  </si>
  <si>
    <t>[Used software dataset]</t>
  </si>
  <si>
    <t>[LIDIA  Package Files]</t>
  </si>
  <si>
    <t>Description</t>
  </si>
  <si>
    <t>OK</t>
  </si>
  <si>
    <t>NOT OK</t>
  </si>
  <si>
    <t>NOT TESTED</t>
  </si>
  <si>
    <t>Status</t>
  </si>
  <si>
    <t>Safety</t>
  </si>
  <si>
    <t>Referenced Documents</t>
  </si>
  <si>
    <t>Previous Test on Software Branch</t>
  </si>
  <si>
    <t>Test Summary Report Reference</t>
  </si>
  <si>
    <t>[xx.xx.xx]</t>
  </si>
  <si>
    <t>[Link]</t>
  </si>
  <si>
    <t>[text]</t>
  </si>
  <si>
    <t>LIDIA version</t>
  </si>
  <si>
    <t>[LIDIA  version]</t>
  </si>
  <si>
    <t>Used software dataset(s)</t>
  </si>
  <si>
    <t>LIDIA  Package File(s)</t>
  </si>
  <si>
    <t>Revision</t>
  </si>
  <si>
    <t>Software</t>
  </si>
  <si>
    <t>Yes</t>
  </si>
  <si>
    <t>[Safety controller vesion]</t>
  </si>
  <si>
    <t>Safety controller version</t>
  </si>
  <si>
    <t>Signature needed?</t>
  </si>
  <si>
    <t>Approved</t>
  </si>
  <si>
    <t>[Dropdown list]</t>
  </si>
  <si>
    <t>AC</t>
  </si>
  <si>
    <t>Release restriction</t>
  </si>
  <si>
    <t>AC internal (dev)</t>
  </si>
  <si>
    <t>Test bench LMB</t>
  </si>
  <si>
    <t>Customer test</t>
  </si>
  <si>
    <t>Customer field test</t>
  </si>
  <si>
    <t>Serial bench LMB</t>
  </si>
  <si>
    <r>
      <t xml:space="preserve">Serial production 
</t>
    </r>
    <r>
      <rPr>
        <sz val="6"/>
        <color theme="1"/>
        <rFont val="Segoe UI"/>
        <family val="2"/>
      </rPr>
      <t>(see release restriction)</t>
    </r>
  </si>
  <si>
    <t>LMB-BHKW</t>
  </si>
  <si>
    <t>Approval</t>
  </si>
  <si>
    <t>Test report approval</t>
  </si>
  <si>
    <r>
      <t>This document use an electronic approval system. Use the reference ID inside the document name (</t>
    </r>
    <r>
      <rPr>
        <i/>
        <sz val="10"/>
        <color theme="1"/>
        <rFont val="Segoe UI"/>
        <family val="2"/>
      </rPr>
      <t>at the bottom left corner</t>
    </r>
    <r>
      <rPr>
        <sz val="10"/>
        <color theme="1"/>
        <rFont val="Segoe UI"/>
        <family val="2"/>
      </rPr>
      <t>) to find this file on Sharepoint.</t>
    </r>
  </si>
  <si>
    <t>RAMD</t>
  </si>
  <si>
    <t>Project</t>
  </si>
  <si>
    <t>Maturity</t>
  </si>
  <si>
    <t>AC22</t>
  </si>
  <si>
    <t>Test cases</t>
  </si>
  <si>
    <t>NOK</t>
  </si>
  <si>
    <t>Other</t>
  </si>
  <si>
    <t>Total</t>
  </si>
  <si>
    <t>total</t>
  </si>
  <si>
    <t>ok</t>
  </si>
  <si>
    <t>nok</t>
  </si>
  <si>
    <t>not tested</t>
  </si>
  <si>
    <t>Safety (%)</t>
  </si>
  <si>
    <t>RAMD(%)</t>
  </si>
  <si>
    <t>%</t>
  </si>
  <si>
    <t>Total (%)</t>
  </si>
  <si>
    <t>Test Case executed with expected results. No problems detected.</t>
  </si>
  <si>
    <t>Test Case executed with unexpected results. 
A description of the issue(s) can be found in the JIRA incident number linked to each test case.</t>
  </si>
  <si>
    <t>The test case is not required for this application or cannot be tested for technical reasons. 
Unless specifically written in the release notes, no further tests or actions are required</t>
  </si>
  <si>
    <t>The software release approval decision given by AC22 is only based on test performed on HIL. The final decision of whether to release the SW is taken by AC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</si>
</sst>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indexed="81"/>
      <name val="Tahoma"/>
      <family val="2"/>
    </font>
    <font>
      <sz val="10"/>
      <color theme="1"/>
      <name val="Segoe UI"/>
      <family val="2"/>
    </font>
    <font>
      <b/>
      <sz val="10"/>
      <color theme="1"/>
      <name val="Segoe UI"/>
      <family val="2"/>
    </font>
    <font>
      <b/>
      <sz val="26"/>
      <color theme="1"/>
      <name val="Segoe UI"/>
      <family val="2"/>
    </font>
    <font>
      <b/>
      <sz val="11"/>
      <color theme="1"/>
      <name val="Segoe UI"/>
      <family val="2"/>
    </font>
    <font>
      <sz val="11"/>
      <color theme="1"/>
      <name val="Segoe UI"/>
      <family val="2"/>
    </font>
    <font>
      <sz val="9"/>
      <color theme="1"/>
      <name val="Segoe UI"/>
      <family val="2"/>
    </font>
    <font>
      <sz val="8"/>
      <color theme="1"/>
      <name val="Segoe UI"/>
      <family val="2"/>
    </font>
    <font>
      <sz val="6"/>
      <color theme="1"/>
      <name val="Segoe UI"/>
      <family val="2"/>
    </font>
    <font>
      <i/>
      <sz val="10"/>
      <color theme="1"/>
      <name val="Segoe UI"/>
      <family val="2"/>
    </font>
    <font>
      <b/>
      <sz val="9"/>
      <color indexed="81"/>
      <name val="Tahoma"/>
      <family val="2"/>
    </font>
    <font>
      <sz val="18"/>
      <color theme="1"/>
      <name val="Segoe UI"/>
      <family val="2"/>
    </font>
    <font>
      <sz val="72"/>
      <color theme="0" tint="-0.249977111117893"/>
      <name val="Segoe UI"/>
      <family val="2"/>
    </font>
    <font>
      <sz val="9"/>
      <color theme="0" tint="-0.34998626667073579"/>
      <name val="Segoe UI"/>
      <family val="2"/>
    </font>
    <font>
      <b/>
      <sz val="14"/>
      <color theme="1"/>
      <name val="Segoe UI"/>
      <family val="2"/>
    </font>
  </fonts>
  <fills count="8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rgb="FFFFC000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14996795556505021"/>
      </bottom>
      <diagonal/>
    </border>
    <border>
      <left/>
      <right/>
      <top style="thin">
        <color theme="0" tint="-0.34998626667073579"/>
      </top>
      <bottom style="thin">
        <color theme="0" tint="-0.14996795556505021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14996795556505021"/>
      </bottom>
      <diagonal/>
    </border>
    <border>
      <left style="thin">
        <color theme="0" tint="-0.34998626667073579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34998626667073579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34998626667073579"/>
      </left>
      <right/>
      <top style="thin">
        <color theme="0" tint="-0.14996795556505021"/>
      </top>
      <bottom style="thin">
        <color theme="0" tint="-0.34998626667073579"/>
      </bottom>
      <diagonal/>
    </border>
    <border>
      <left/>
      <right/>
      <top style="thin">
        <color theme="0" tint="-0.14996795556505021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14996795556505021"/>
      </top>
      <bottom style="thin">
        <color theme="0" tint="-0.34998626667073579"/>
      </bottom>
      <diagonal/>
    </border>
    <border>
      <left/>
      <right/>
      <top style="thin">
        <color indexed="64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20">
    <xf numFmtId="0" fontId="0" fillId="0" borderId="0" xfId="0"/>
    <xf numFmtId="0" fontId="0" fillId="0" borderId="0" xfId="0"/>
    <xf numFmtId="0" fontId="0" fillId="0" borderId="8" xfId="0" applyFill="1" applyBorder="1"/>
    <xf numFmtId="0" fontId="0" fillId="0" borderId="0" xfId="0"/>
    <xf numFmtId="0" fontId="2" fillId="0" borderId="0" xfId="0" applyFont="1"/>
    <xf numFmtId="14" fontId="2" fillId="0" borderId="0" xfId="0" applyNumberFormat="1" applyFont="1"/>
    <xf numFmtId="0" fontId="2" fillId="0" borderId="0" xfId="0" applyFont="1" applyAlignment="1"/>
    <xf numFmtId="0" fontId="0" fillId="0" borderId="4" xfId="0" applyBorder="1" applyAlignment="1">
      <alignment horizontal="center"/>
    </xf>
    <xf numFmtId="49" fontId="4" fillId="0" borderId="18" xfId="0" applyNumberFormat="1" applyFont="1" applyBorder="1"/>
    <xf numFmtId="49" fontId="4" fillId="0" borderId="19" xfId="0" applyNumberFormat="1" applyFont="1" applyBorder="1"/>
    <xf numFmtId="49" fontId="4" fillId="0" borderId="0" xfId="0" applyNumberFormat="1" applyFont="1"/>
    <xf numFmtId="0" fontId="4" fillId="0" borderId="0" xfId="0" applyFont="1"/>
    <xf numFmtId="0" fontId="9" fillId="0" borderId="0" xfId="0" applyFont="1"/>
    <xf numFmtId="0" fontId="5" fillId="5" borderId="2" xfId="0" applyFont="1" applyFill="1" applyBorder="1" applyAlignment="1"/>
    <xf numFmtId="0" fontId="4" fillId="0" borderId="0" xfId="0" applyFont="1" applyBorder="1"/>
    <xf numFmtId="0" fontId="4" fillId="0" borderId="18" xfId="0" applyFont="1" applyBorder="1"/>
    <xf numFmtId="0" fontId="4" fillId="0" borderId="19" xfId="0" applyFont="1" applyBorder="1"/>
    <xf numFmtId="0" fontId="4" fillId="5" borderId="2" xfId="0" applyFont="1" applyFill="1" applyBorder="1"/>
    <xf numFmtId="0" fontId="4" fillId="5" borderId="0" xfId="0" applyFont="1" applyFill="1"/>
    <xf numFmtId="0" fontId="4" fillId="0" borderId="0" xfId="0" applyFont="1" applyBorder="1" applyAlignment="1">
      <alignment horizontal="left"/>
    </xf>
    <xf numFmtId="0" fontId="9" fillId="0" borderId="18" xfId="0" applyFont="1" applyBorder="1"/>
    <xf numFmtId="0" fontId="9" fillId="0" borderId="19" xfId="0" applyFont="1" applyBorder="1"/>
    <xf numFmtId="0" fontId="0" fillId="0" borderId="0" xfId="0"/>
    <xf numFmtId="0" fontId="7" fillId="0" borderId="0" xfId="0" applyFont="1" applyBorder="1" applyAlignment="1">
      <alignment horizontal="right"/>
    </xf>
    <xf numFmtId="0" fontId="8" fillId="0" borderId="0" xfId="0" applyFont="1" applyBorder="1" applyAlignment="1">
      <alignment horizontal="center"/>
    </xf>
    <xf numFmtId="0" fontId="1" fillId="0" borderId="0" xfId="0" applyFont="1"/>
    <xf numFmtId="0" fontId="5" fillId="7" borderId="21" xfId="0" applyFont="1" applyFill="1" applyBorder="1" applyAlignment="1"/>
    <xf numFmtId="0" fontId="5" fillId="0" borderId="21" xfId="0" applyFont="1" applyFill="1" applyBorder="1" applyAlignment="1"/>
    <xf numFmtId="0" fontId="5" fillId="7" borderId="0" xfId="0" applyFont="1" applyFill="1" applyBorder="1" applyAlignment="1">
      <alignment vertical="top"/>
    </xf>
    <xf numFmtId="0" fontId="5" fillId="0" borderId="0" xfId="0" applyFont="1" applyFill="1" applyBorder="1" applyAlignment="1">
      <alignment vertical="top"/>
    </xf>
    <xf numFmtId="0" fontId="5" fillId="7" borderId="22" xfId="0" applyFont="1" applyFill="1" applyBorder="1" applyAlignment="1">
      <alignment vertical="top"/>
    </xf>
    <xf numFmtId="0" fontId="5" fillId="7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5" fillId="7" borderId="25" xfId="0" applyFont="1" applyFill="1" applyBorder="1" applyAlignment="1">
      <alignment vertical="top"/>
    </xf>
    <xf numFmtId="0" fontId="5" fillId="7" borderId="3" xfId="0" applyFont="1" applyFill="1" applyBorder="1" applyAlignment="1">
      <alignment vertical="top"/>
    </xf>
    <xf numFmtId="0" fontId="5" fillId="0" borderId="3" xfId="0" applyFont="1" applyFill="1" applyBorder="1" applyAlignment="1">
      <alignment vertical="top"/>
    </xf>
    <xf numFmtId="49" fontId="9" fillId="0" borderId="0" xfId="0" applyNumberFormat="1" applyFont="1" applyBorder="1" applyAlignment="1">
      <alignment horizontal="left"/>
    </xf>
    <xf numFmtId="0" fontId="10" fillId="0" borderId="0" xfId="0" applyFont="1" applyBorder="1" applyAlignment="1">
      <alignment horizontal="center" vertical="center"/>
    </xf>
    <xf numFmtId="0" fontId="5" fillId="7" borderId="0" xfId="0" applyFont="1" applyFill="1" applyAlignment="1"/>
    <xf numFmtId="0" fontId="0" fillId="7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0" borderId="27" xfId="0" applyFill="1" applyBorder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0" fontId="0" fillId="0" borderId="3" xfId="0" applyBorder="1"/>
    <xf numFmtId="0" fontId="8" fillId="0" borderId="26" xfId="0" applyFont="1" applyFill="1" applyBorder="1"/>
    <xf numFmtId="0" fontId="14" fillId="0" borderId="26" xfId="0" applyFont="1" applyFill="1" applyBorder="1" applyAlignment="1">
      <alignment vertical="center"/>
    </xf>
    <xf numFmtId="0" fontId="8" fillId="0" borderId="0" xfId="0" applyFont="1" applyFill="1"/>
    <xf numFmtId="0" fontId="8" fillId="0" borderId="0" xfId="0" applyFont="1" applyFill="1" applyBorder="1"/>
    <xf numFmtId="0" fontId="8" fillId="0" borderId="20" xfId="0" applyFont="1" applyFill="1" applyBorder="1"/>
    <xf numFmtId="0" fontId="8" fillId="0" borderId="13" xfId="0" applyFont="1" applyFill="1" applyBorder="1"/>
    <xf numFmtId="0" fontId="8" fillId="0" borderId="13" xfId="0" applyFont="1" applyFill="1" applyBorder="1" applyAlignment="1">
      <alignment horizontal="left"/>
    </xf>
    <xf numFmtId="0" fontId="4" fillId="0" borderId="0" xfId="0" applyFont="1" applyFill="1"/>
    <xf numFmtId="0" fontId="8" fillId="0" borderId="19" xfId="0" applyFont="1" applyFill="1" applyBorder="1"/>
    <xf numFmtId="0" fontId="8" fillId="0" borderId="19" xfId="0" applyFont="1" applyFill="1" applyBorder="1" applyAlignment="1">
      <alignment horizontal="left"/>
    </xf>
    <xf numFmtId="0" fontId="8" fillId="0" borderId="20" xfId="0" applyFont="1" applyFill="1" applyBorder="1" applyAlignment="1">
      <alignment horizontal="right"/>
    </xf>
    <xf numFmtId="164" fontId="8" fillId="0" borderId="20" xfId="0" applyNumberFormat="1" applyFont="1" applyFill="1" applyBorder="1" applyAlignment="1">
      <alignment horizontal="left"/>
    </xf>
    <xf numFmtId="0" fontId="8" fillId="0" borderId="13" xfId="0" applyFont="1" applyFill="1" applyBorder="1" applyAlignment="1">
      <alignment horizontal="right"/>
    </xf>
    <xf numFmtId="164" fontId="8" fillId="0" borderId="13" xfId="0" applyNumberFormat="1" applyFont="1" applyFill="1" applyBorder="1" applyAlignment="1">
      <alignment horizontal="left"/>
    </xf>
    <xf numFmtId="0" fontId="8" fillId="0" borderId="0" xfId="0" applyFont="1" applyFill="1" applyAlignment="1">
      <alignment horizontal="center"/>
    </xf>
    <xf numFmtId="0" fontId="8" fillId="0" borderId="19" xfId="0" applyFont="1" applyFill="1" applyBorder="1" applyAlignment="1">
      <alignment horizontal="right"/>
    </xf>
    <xf numFmtId="164" fontId="8" fillId="0" borderId="19" xfId="0" applyNumberFormat="1" applyFont="1" applyFill="1" applyBorder="1" applyAlignment="1">
      <alignment horizontal="left"/>
    </xf>
    <xf numFmtId="0" fontId="8" fillId="0" borderId="26" xfId="0" applyFont="1" applyFill="1" applyBorder="1" applyAlignment="1"/>
    <xf numFmtId="0" fontId="8" fillId="0" borderId="0" xfId="0" applyFont="1" applyFill="1" applyBorder="1" applyAlignment="1"/>
    <xf numFmtId="0" fontId="15" fillId="0" borderId="0" xfId="0" applyFont="1" applyFill="1" applyAlignment="1">
      <alignment vertical="center" textRotation="46"/>
    </xf>
    <xf numFmtId="0" fontId="8" fillId="0" borderId="26" xfId="0" applyFont="1" applyFill="1" applyBorder="1" applyAlignment="1">
      <alignment wrapText="1"/>
    </xf>
    <xf numFmtId="0" fontId="8" fillId="0" borderId="0" xfId="0" applyFont="1" applyFill="1" applyAlignment="1">
      <alignment wrapText="1"/>
    </xf>
    <xf numFmtId="0" fontId="8" fillId="0" borderId="0" xfId="0" applyFont="1" applyFill="1" applyAlignment="1">
      <alignment horizontal="right"/>
    </xf>
    <xf numFmtId="164" fontId="8" fillId="0" borderId="0" xfId="0" applyNumberFormat="1" applyFont="1" applyFill="1" applyAlignment="1">
      <alignment horizontal="left"/>
    </xf>
    <xf numFmtId="0" fontId="4" fillId="0" borderId="23" xfId="0" applyFont="1" applyBorder="1" applyAlignment="1">
      <alignment horizontal="center" vertical="center"/>
    </xf>
    <xf numFmtId="0" fontId="10" fillId="0" borderId="23" xfId="0" applyFont="1" applyBorder="1" applyAlignment="1">
      <alignment horizontal="left" vertical="top" wrapText="1"/>
    </xf>
    <xf numFmtId="0" fontId="10" fillId="0" borderId="23" xfId="0" applyFont="1" applyBorder="1" applyAlignment="1">
      <alignment horizontal="left" vertical="top"/>
    </xf>
    <xf numFmtId="0" fontId="14" fillId="0" borderId="0" xfId="0" applyFont="1" applyFill="1" applyAlignment="1">
      <alignment horizontal="center" vertical="center"/>
    </xf>
    <xf numFmtId="0" fontId="6" fillId="0" borderId="0" xfId="0" applyFont="1" applyAlignment="1">
      <alignment horizontal="center"/>
    </xf>
    <xf numFmtId="0" fontId="16" fillId="0" borderId="0" xfId="0" applyFont="1" applyAlignment="1">
      <alignment horizontal="left" vertical="top" wrapText="1"/>
    </xf>
    <xf numFmtId="0" fontId="5" fillId="7" borderId="0" xfId="0" applyFont="1" applyFill="1" applyBorder="1" applyAlignment="1">
      <alignment horizontal="left"/>
    </xf>
    <xf numFmtId="0" fontId="4" fillId="0" borderId="21" xfId="0" applyFont="1" applyBorder="1" applyAlignment="1">
      <alignment horizontal="center" vertical="center"/>
    </xf>
    <xf numFmtId="0" fontId="10" fillId="0" borderId="21" xfId="0" applyFont="1" applyBorder="1" applyAlignment="1">
      <alignment horizontal="left" vertical="top"/>
    </xf>
    <xf numFmtId="0" fontId="7" fillId="0" borderId="9" xfId="0" applyFont="1" applyBorder="1" applyAlignment="1">
      <alignment horizontal="right"/>
    </xf>
    <xf numFmtId="0" fontId="7" fillId="0" borderId="11" xfId="0" applyFont="1" applyBorder="1" applyAlignment="1">
      <alignment horizontal="right"/>
    </xf>
    <xf numFmtId="0" fontId="7" fillId="0" borderId="12" xfId="0" applyFont="1" applyBorder="1" applyAlignment="1">
      <alignment horizontal="right"/>
    </xf>
    <xf numFmtId="0" fontId="7" fillId="0" borderId="14" xfId="0" applyFont="1" applyBorder="1" applyAlignment="1">
      <alignment horizontal="right"/>
    </xf>
    <xf numFmtId="0" fontId="8" fillId="0" borderId="1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49" fontId="8" fillId="0" borderId="13" xfId="0" applyNumberFormat="1" applyFont="1" applyBorder="1" applyAlignment="1">
      <alignment horizontal="center"/>
    </xf>
    <xf numFmtId="49" fontId="8" fillId="0" borderId="14" xfId="0" applyNumberFormat="1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14" fillId="0" borderId="0" xfId="0" applyFont="1" applyFill="1" applyBorder="1" applyAlignment="1">
      <alignment horizontal="center" vertical="center"/>
    </xf>
    <xf numFmtId="0" fontId="7" fillId="0" borderId="15" xfId="0" applyFont="1" applyBorder="1" applyAlignment="1">
      <alignment horizontal="right"/>
    </xf>
    <xf numFmtId="0" fontId="7" fillId="0" borderId="17" xfId="0" applyFont="1" applyBorder="1" applyAlignment="1">
      <alignment horizontal="right"/>
    </xf>
    <xf numFmtId="0" fontId="17" fillId="0" borderId="0" xfId="0" applyFont="1" applyAlignment="1">
      <alignment horizontal="center"/>
    </xf>
    <xf numFmtId="0" fontId="9" fillId="0" borderId="22" xfId="0" applyFont="1" applyFill="1" applyBorder="1" applyAlignment="1">
      <alignment horizontal="left" vertical="top"/>
    </xf>
    <xf numFmtId="0" fontId="9" fillId="0" borderId="0" xfId="0" applyFont="1" applyFill="1" applyBorder="1" applyAlignment="1">
      <alignment horizontal="left" vertical="top"/>
    </xf>
    <xf numFmtId="0" fontId="0" fillId="6" borderId="5" xfId="0" applyFill="1" applyBorder="1" applyAlignment="1">
      <alignment horizontal="center"/>
    </xf>
    <xf numFmtId="0" fontId="5" fillId="5" borderId="2" xfId="0" applyFont="1" applyFill="1" applyBorder="1" applyAlignment="1">
      <alignment horizontal="left"/>
    </xf>
    <xf numFmtId="0" fontId="4" fillId="0" borderId="3" xfId="0" applyFont="1" applyFill="1" applyBorder="1" applyAlignment="1">
      <alignment horizontal="left" vertical="top" wrapText="1"/>
    </xf>
    <xf numFmtId="0" fontId="5" fillId="0" borderId="3" xfId="0" applyFont="1" applyFill="1" applyBorder="1" applyAlignment="1">
      <alignment horizontal="left" vertical="top" wrapText="1"/>
    </xf>
    <xf numFmtId="0" fontId="5" fillId="0" borderId="0" xfId="0" applyFont="1" applyFill="1" applyBorder="1" applyAlignment="1">
      <alignment horizontal="left" vertical="top" wrapText="1"/>
    </xf>
    <xf numFmtId="0" fontId="1" fillId="5" borderId="2" xfId="0" applyFont="1" applyFill="1" applyBorder="1" applyAlignment="1">
      <alignment horizontal="left"/>
    </xf>
    <xf numFmtId="0" fontId="4" fillId="0" borderId="21" xfId="0" applyFont="1" applyBorder="1" applyAlignment="1">
      <alignment horizontal="center" vertical="top" wrapText="1"/>
    </xf>
    <xf numFmtId="0" fontId="10" fillId="0" borderId="0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 wrapText="1"/>
    </xf>
    <xf numFmtId="0" fontId="10" fillId="0" borderId="25" xfId="0" applyFont="1" applyBorder="1" applyAlignment="1">
      <alignment horizontal="center" vertical="center"/>
    </xf>
    <xf numFmtId="0" fontId="9" fillId="0" borderId="25" xfId="0" applyFont="1" applyFill="1" applyBorder="1" applyAlignment="1">
      <alignment horizontal="left" vertical="top"/>
    </xf>
    <xf numFmtId="0" fontId="5" fillId="5" borderId="7" xfId="0" applyFont="1" applyFill="1" applyBorder="1" applyAlignment="1">
      <alignment horizontal="left"/>
    </xf>
    <xf numFmtId="0" fontId="5" fillId="5" borderId="24" xfId="0" applyFont="1" applyFill="1" applyBorder="1" applyAlignment="1">
      <alignment horizontal="left"/>
    </xf>
    <xf numFmtId="0" fontId="5" fillId="5" borderId="6" xfId="0" applyFont="1" applyFill="1" applyBorder="1" applyAlignment="1">
      <alignment horizontal="left"/>
    </xf>
    <xf numFmtId="0" fontId="4" fillId="0" borderId="13" xfId="0" applyFont="1" applyBorder="1" applyAlignment="1">
      <alignment horizontal="left"/>
    </xf>
    <xf numFmtId="49" fontId="9" fillId="0" borderId="13" xfId="0" applyNumberFormat="1" applyFont="1" applyBorder="1" applyAlignment="1">
      <alignment horizontal="left"/>
    </xf>
    <xf numFmtId="0" fontId="5" fillId="0" borderId="0" xfId="0" applyFont="1" applyBorder="1" applyAlignment="1">
      <alignment horizontal="left"/>
    </xf>
    <xf numFmtId="0" fontId="5" fillId="5" borderId="0" xfId="0" applyFont="1" applyFill="1" applyBorder="1" applyAlignment="1">
      <alignment horizontal="left"/>
    </xf>
    <xf numFmtId="0" fontId="4" fillId="0" borderId="13" xfId="0" applyFont="1" applyBorder="1" applyAlignment="1">
      <alignment horizontal="left" vertical="top"/>
    </xf>
    <xf numFmtId="49" fontId="9" fillId="0" borderId="3" xfId="0" applyNumberFormat="1" applyFont="1" applyBorder="1" applyAlignment="1">
      <alignment horizontal="left"/>
    </xf>
    <xf numFmtId="49" fontId="9" fillId="0" borderId="0" xfId="0" applyNumberFormat="1" applyFont="1" applyBorder="1" applyAlignment="1">
      <alignment horizontal="left"/>
    </xf>
    <xf numFmtId="49" fontId="9" fillId="0" borderId="20" xfId="0" applyNumberFormat="1" applyFont="1" applyBorder="1" applyAlignment="1">
      <alignment horizontal="left"/>
    </xf>
    <xf numFmtId="49" fontId="9" fillId="0" borderId="19" xfId="0" applyNumberFormat="1" applyFont="1" applyBorder="1" applyAlignment="1">
      <alignment horizontal="left"/>
    </xf>
    <xf numFmtId="0" fontId="4" fillId="0" borderId="19" xfId="0" applyFont="1" applyBorder="1" applyAlignment="1">
      <alignment horizontal="left"/>
    </xf>
  </cellXfs>
  <cellStyles count="1">
    <cellStyle name="Normal" xfId="0" builtinId="0"/>
  </cellStyles>
  <dxfs count="28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darkUp"/>
      </fill>
    </dxf>
    <dxf>
      <fill>
        <patternFill patternType="darkUp"/>
      </fill>
    </dxf>
    <dxf>
      <fill>
        <patternFill patternType="darkUp"/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A86ED4"/>
        </patternFill>
      </fill>
    </dxf>
    <dxf>
      <fill>
        <patternFill>
          <bgColor rgb="FF00B0F0"/>
        </patternFill>
      </fill>
    </dxf>
    <dxf>
      <fill>
        <patternFill>
          <bgColor rgb="FFF18B0F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A86ED4"/>
        </patternFill>
      </fill>
    </dxf>
    <dxf>
      <fill>
        <patternFill>
          <bgColor rgb="FF00B0F0"/>
        </patternFill>
      </fill>
    </dxf>
    <dxf>
      <fill>
        <patternFill>
          <bgColor rgb="FFF18B0F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</border>
    </dxf>
    <dxf>
      <font>
        <color theme="0"/>
      </font>
      <fill>
        <patternFill>
          <bgColor rgb="FFFF0000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</dxfs>
  <tableStyles count="0" defaultTableStyle="TableStyleMedium2" defaultPivotStyle="PivotStyleLight16"/>
  <colors>
    <mruColors>
      <color rgb="FFF94835"/>
      <color rgb="FF00FF00"/>
      <color rgb="FFA86ED4"/>
      <color rgb="FFF18B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99D-4D85-A2CE-0D54AABF25B5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99D-4D85-A2CE-0D54AABF25B5}"/>
              </c:ext>
            </c:extLst>
          </c:dPt>
          <c:dPt>
            <c:idx val="2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99D-4D85-A2CE-0D54AABF25B5}"/>
              </c:ext>
            </c:extLst>
          </c:dPt>
          <c:cat>
            <c:strRef>
              <c:f>_Summary!$L$8:$L$10</c:f>
              <c:strCache>
                <c:ptCount val="3"/>
                <c:pt idx="0">
                  <c:v>ok</c:v>
                </c:pt>
                <c:pt idx="1">
                  <c:v>nok</c:v>
                </c:pt>
                <c:pt idx="2">
                  <c:v>not tested</c:v>
                </c:pt>
              </c:strCache>
            </c:strRef>
          </c:cat>
          <c:val>
            <c:numRef>
              <c:f>_Summary!$M$8:$M$10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99D-4D85-A2CE-0D54AABF25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8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317665</xdr:colOff>
      <xdr:row>14</xdr:row>
      <xdr:rowOff>76201</xdr:rowOff>
    </xdr:from>
    <xdr:to>
      <xdr:col>2</xdr:col>
      <xdr:colOff>293913</xdr:colOff>
      <xdr:row>20</xdr:row>
      <xdr:rowOff>152401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604485</xdr:colOff>
      <xdr:row>16</xdr:row>
      <xdr:rowOff>50889</xdr:rowOff>
    </xdr:from>
    <xdr:to>
      <xdr:col>3</xdr:col>
      <xdr:colOff>95118</xdr:colOff>
      <xdr:row>16</xdr:row>
      <xdr:rowOff>181106</xdr:rowOff>
    </xdr:to>
    <xdr:sp macro="" textlink="">
      <xdr:nvSpPr>
        <xdr:cNvPr id="10" name="Rectangle 9"/>
        <xdr:cNvSpPr/>
      </xdr:nvSpPr>
      <xdr:spPr>
        <a:xfrm>
          <a:off x="1932542" y="3479889"/>
          <a:ext cx="122005" cy="130217"/>
        </a:xfrm>
        <a:prstGeom prst="rec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H" sz="1100"/>
        </a:p>
      </xdr:txBody>
    </xdr:sp>
    <xdr:clientData/>
  </xdr:twoCellAnchor>
  <xdr:twoCellAnchor>
    <xdr:from>
      <xdr:col>2</xdr:col>
      <xdr:colOff>604994</xdr:colOff>
      <xdr:row>17</xdr:row>
      <xdr:rowOff>59439</xdr:rowOff>
    </xdr:from>
    <xdr:to>
      <xdr:col>3</xdr:col>
      <xdr:colOff>95627</xdr:colOff>
      <xdr:row>17</xdr:row>
      <xdr:rowOff>189656</xdr:rowOff>
    </xdr:to>
    <xdr:sp macro="" textlink="">
      <xdr:nvSpPr>
        <xdr:cNvPr id="11" name="Rectangle 10"/>
        <xdr:cNvSpPr/>
      </xdr:nvSpPr>
      <xdr:spPr>
        <a:xfrm>
          <a:off x="1933051" y="3706153"/>
          <a:ext cx="122005" cy="130217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H" sz="1100"/>
        </a:p>
      </xdr:txBody>
    </xdr:sp>
    <xdr:clientData/>
  </xdr:twoCellAnchor>
  <xdr:twoCellAnchor>
    <xdr:from>
      <xdr:col>2</xdr:col>
      <xdr:colOff>604994</xdr:colOff>
      <xdr:row>18</xdr:row>
      <xdr:rowOff>57356</xdr:rowOff>
    </xdr:from>
    <xdr:to>
      <xdr:col>3</xdr:col>
      <xdr:colOff>95627</xdr:colOff>
      <xdr:row>18</xdr:row>
      <xdr:rowOff>183219</xdr:rowOff>
    </xdr:to>
    <xdr:sp macro="" textlink="">
      <xdr:nvSpPr>
        <xdr:cNvPr id="12" name="Rectangle 11"/>
        <xdr:cNvSpPr/>
      </xdr:nvSpPr>
      <xdr:spPr>
        <a:xfrm>
          <a:off x="1933051" y="3921785"/>
          <a:ext cx="122005" cy="125863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H" sz="1100"/>
        </a:p>
      </xdr:txBody>
    </xdr:sp>
    <xdr:clientData/>
  </xdr:twoCellAnchor>
  <xdr:twoCellAnchor>
    <xdr:from>
      <xdr:col>3</xdr:col>
      <xdr:colOff>0</xdr:colOff>
      <xdr:row>21</xdr:row>
      <xdr:rowOff>54429</xdr:rowOff>
    </xdr:from>
    <xdr:to>
      <xdr:col>3</xdr:col>
      <xdr:colOff>122005</xdr:colOff>
      <xdr:row>21</xdr:row>
      <xdr:rowOff>184646</xdr:rowOff>
    </xdr:to>
    <xdr:sp macro="" textlink="">
      <xdr:nvSpPr>
        <xdr:cNvPr id="13" name="Rectangle 12"/>
        <xdr:cNvSpPr/>
      </xdr:nvSpPr>
      <xdr:spPr>
        <a:xfrm>
          <a:off x="1894114" y="4572000"/>
          <a:ext cx="122005" cy="130217"/>
        </a:xfrm>
        <a:prstGeom prst="rec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H" sz="1100"/>
        </a:p>
      </xdr:txBody>
    </xdr:sp>
    <xdr:clientData/>
  </xdr:twoCellAnchor>
  <xdr:twoCellAnchor>
    <xdr:from>
      <xdr:col>3</xdr:col>
      <xdr:colOff>509</xdr:colOff>
      <xdr:row>22</xdr:row>
      <xdr:rowOff>62978</xdr:rowOff>
    </xdr:from>
    <xdr:to>
      <xdr:col>3</xdr:col>
      <xdr:colOff>122514</xdr:colOff>
      <xdr:row>22</xdr:row>
      <xdr:rowOff>193195</xdr:rowOff>
    </xdr:to>
    <xdr:sp macro="" textlink="">
      <xdr:nvSpPr>
        <xdr:cNvPr id="14" name="Rectangle 13"/>
        <xdr:cNvSpPr/>
      </xdr:nvSpPr>
      <xdr:spPr>
        <a:xfrm>
          <a:off x="1894623" y="4798264"/>
          <a:ext cx="122005" cy="130217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H" sz="1100"/>
        </a:p>
      </xdr:txBody>
    </xdr:sp>
    <xdr:clientData/>
  </xdr:twoCellAnchor>
  <xdr:twoCellAnchor>
    <xdr:from>
      <xdr:col>3</xdr:col>
      <xdr:colOff>509</xdr:colOff>
      <xdr:row>23</xdr:row>
      <xdr:rowOff>60896</xdr:rowOff>
    </xdr:from>
    <xdr:to>
      <xdr:col>3</xdr:col>
      <xdr:colOff>122514</xdr:colOff>
      <xdr:row>23</xdr:row>
      <xdr:rowOff>186759</xdr:rowOff>
    </xdr:to>
    <xdr:sp macro="" textlink="">
      <xdr:nvSpPr>
        <xdr:cNvPr id="15" name="Rectangle 14"/>
        <xdr:cNvSpPr/>
      </xdr:nvSpPr>
      <xdr:spPr>
        <a:xfrm>
          <a:off x="1894623" y="5013896"/>
          <a:ext cx="122005" cy="125863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H" sz="1100"/>
        </a:p>
      </xdr:txBody>
    </xdr:sp>
    <xdr:clientData/>
  </xdr:twoCellAnchor>
  <xdr:twoCellAnchor>
    <xdr:from>
      <xdr:col>2</xdr:col>
      <xdr:colOff>618566</xdr:colOff>
      <xdr:row>26</xdr:row>
      <xdr:rowOff>23696</xdr:rowOff>
    </xdr:from>
    <xdr:to>
      <xdr:col>3</xdr:col>
      <xdr:colOff>104077</xdr:colOff>
      <xdr:row>26</xdr:row>
      <xdr:rowOff>153912</xdr:rowOff>
    </xdr:to>
    <xdr:sp macro="" textlink="">
      <xdr:nvSpPr>
        <xdr:cNvPr id="16" name="Rectangle 15"/>
        <xdr:cNvSpPr/>
      </xdr:nvSpPr>
      <xdr:spPr>
        <a:xfrm>
          <a:off x="1881309" y="5629839"/>
          <a:ext cx="116882" cy="130216"/>
        </a:xfrm>
        <a:prstGeom prst="rec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H" sz="1100"/>
        </a:p>
      </xdr:txBody>
    </xdr:sp>
    <xdr:clientData/>
  </xdr:twoCellAnchor>
  <xdr:twoCellAnchor>
    <xdr:from>
      <xdr:col>2</xdr:col>
      <xdr:colOff>619075</xdr:colOff>
      <xdr:row>27</xdr:row>
      <xdr:rowOff>24625</xdr:rowOff>
    </xdr:from>
    <xdr:to>
      <xdr:col>3</xdr:col>
      <xdr:colOff>104586</xdr:colOff>
      <xdr:row>27</xdr:row>
      <xdr:rowOff>162462</xdr:rowOff>
    </xdr:to>
    <xdr:sp macro="" textlink="">
      <xdr:nvSpPr>
        <xdr:cNvPr id="17" name="Rectangle 16"/>
        <xdr:cNvSpPr/>
      </xdr:nvSpPr>
      <xdr:spPr>
        <a:xfrm>
          <a:off x="1881818" y="5848482"/>
          <a:ext cx="116882" cy="137837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H" sz="1100"/>
        </a:p>
      </xdr:txBody>
    </xdr:sp>
    <xdr:clientData/>
  </xdr:twoCellAnchor>
  <xdr:twoCellAnchor>
    <xdr:from>
      <xdr:col>2</xdr:col>
      <xdr:colOff>619075</xdr:colOff>
      <xdr:row>28</xdr:row>
      <xdr:rowOff>68583</xdr:rowOff>
    </xdr:from>
    <xdr:to>
      <xdr:col>3</xdr:col>
      <xdr:colOff>104586</xdr:colOff>
      <xdr:row>28</xdr:row>
      <xdr:rowOff>191885</xdr:rowOff>
    </xdr:to>
    <xdr:sp macro="" textlink="">
      <xdr:nvSpPr>
        <xdr:cNvPr id="18" name="Rectangle 17"/>
        <xdr:cNvSpPr/>
      </xdr:nvSpPr>
      <xdr:spPr>
        <a:xfrm>
          <a:off x="1881818" y="6110154"/>
          <a:ext cx="116882" cy="123302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H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U45"/>
  <sheetViews>
    <sheetView showGridLines="0" tabSelected="1" view="pageLayout" zoomScale="70" zoomScaleNormal="100" zoomScalePageLayoutView="70" workbookViewId="0">
      <selection activeCell="G13" sqref="G13"/>
    </sheetView>
  </sheetViews>
  <sheetFormatPr defaultColWidth="8.85546875" defaultRowHeight="15" x14ac:dyDescent="0.25"/>
  <cols>
    <col min="1" max="1" width="8.85546875" customWidth="1"/>
    <col min="2" max="2" width="9.7109375" bestFit="1" customWidth="1"/>
    <col min="4" max="4" width="9" bestFit="1" customWidth="1"/>
    <col min="6" max="7" width="9" bestFit="1" customWidth="1"/>
    <col min="10" max="10" width="9.42578125" customWidth="1"/>
    <col min="14" max="14" width="8.85546875" style="22"/>
  </cols>
  <sheetData>
    <row r="1" spans="1:21" ht="14.45" customHeight="1" x14ac:dyDescent="0.25">
      <c r="A1" s="2"/>
      <c r="B1" s="2"/>
      <c r="C1" s="2"/>
      <c r="D1" s="2"/>
      <c r="E1" s="2"/>
      <c r="F1" s="2"/>
      <c r="G1" s="2"/>
      <c r="H1" s="2"/>
      <c r="I1" s="2"/>
    </row>
    <row r="3" spans="1:21" s="1" customFormat="1" x14ac:dyDescent="0.25">
      <c r="N3" s="22"/>
    </row>
    <row r="5" spans="1:21" ht="38.25" x14ac:dyDescent="0.65">
      <c r="A5" s="75" t="s">
        <v>2</v>
      </c>
      <c r="B5" s="75"/>
      <c r="C5" s="75"/>
      <c r="D5" s="75"/>
      <c r="E5" s="75"/>
      <c r="F5" s="75"/>
      <c r="G5" s="75"/>
      <c r="H5" s="75"/>
      <c r="I5" s="75"/>
    </row>
    <row r="6" spans="1:21" x14ac:dyDescent="0.25">
      <c r="L6" s="39"/>
      <c r="M6" s="39" t="s">
        <v>50</v>
      </c>
      <c r="N6" s="39" t="s">
        <v>58</v>
      </c>
      <c r="O6" s="39" t="s">
        <v>12</v>
      </c>
      <c r="P6" s="39" t="s">
        <v>55</v>
      </c>
      <c r="Q6" s="39" t="s">
        <v>43</v>
      </c>
      <c r="R6" s="39" t="s">
        <v>56</v>
      </c>
    </row>
    <row r="7" spans="1:21" ht="16.5" x14ac:dyDescent="0.3">
      <c r="C7" s="80" t="s">
        <v>24</v>
      </c>
      <c r="D7" s="81"/>
      <c r="E7" s="84"/>
      <c r="F7" s="84"/>
      <c r="G7" s="85"/>
      <c r="J7" s="25"/>
      <c r="K7" s="22"/>
      <c r="L7" s="40" t="s">
        <v>51</v>
      </c>
      <c r="M7" s="40" t="e">
        <f ca="1">SUM(M8:M10)</f>
        <v>#REF!</v>
      </c>
      <c r="N7" s="40">
        <v>100</v>
      </c>
      <c r="O7" s="40" t="e">
        <f ca="1">SUM(O8:O10)</f>
        <v>#REF!</v>
      </c>
      <c r="P7" s="40">
        <v>100</v>
      </c>
      <c r="Q7" s="40" t="e">
        <f ca="1">SUM(Q8:Q10)</f>
        <v>#REF!</v>
      </c>
      <c r="R7" s="40">
        <v>100</v>
      </c>
    </row>
    <row r="8" spans="1:21" ht="16.5" x14ac:dyDescent="0.3">
      <c r="C8" s="82" t="s">
        <v>45</v>
      </c>
      <c r="D8" s="83"/>
      <c r="E8" s="86"/>
      <c r="F8" s="86"/>
      <c r="G8" s="87"/>
      <c r="J8" s="22"/>
      <c r="K8" s="22"/>
      <c r="L8" s="41" t="s">
        <v>52</v>
      </c>
      <c r="M8" s="40" t="e">
        <f ca="1">COUNTIF(INDIRECT("Result!G:G"),"OK")</f>
        <v>#REF!</v>
      </c>
      <c r="N8" s="40">
        <f ca="1">IFERROR($N$7/$M$7*M8,0)</f>
        <v>0</v>
      </c>
      <c r="O8" s="40" t="e">
        <f ca="1">SUMIFS(INDIRECT("Result!K:K"),INDIRECT("Result!G:G"),"OK",INDIRECT("Result!A:A"),"*Safety*")</f>
        <v>#REF!</v>
      </c>
      <c r="P8" s="40">
        <f ca="1">IFERROR(P7/O7*O8,0)</f>
        <v>0</v>
      </c>
      <c r="Q8" s="40" t="e">
        <f ca="1">SUMIFS(INDIRECT("Result!K:K"),INDIRECT("Result!G:G"),"OK",INDIRECT("Result!A:A"),"*RAMD*")</f>
        <v>#REF!</v>
      </c>
      <c r="R8" s="40">
        <f ca="1">IFERROR(R7/Q7*Q8,0)</f>
        <v>0</v>
      </c>
    </row>
    <row r="9" spans="1:21" ht="16.5" x14ac:dyDescent="0.3">
      <c r="C9" s="91" t="s">
        <v>44</v>
      </c>
      <c r="D9" s="92"/>
      <c r="E9" s="88"/>
      <c r="F9" s="88"/>
      <c r="G9" s="89"/>
      <c r="J9" s="22"/>
      <c r="K9" s="22"/>
      <c r="L9" s="42" t="s">
        <v>53</v>
      </c>
      <c r="M9" s="40" t="e">
        <f ca="1">COUNTIF(INDIRECT("Result!G:G"),"NOT OK")</f>
        <v>#REF!</v>
      </c>
      <c r="N9" s="40">
        <f ca="1">IFERROR($N$7/$M$7*M9,0)</f>
        <v>0</v>
      </c>
      <c r="O9" s="40" t="e">
        <f ca="1">SUMIFS(INDIRECT("Result!K:K"),INDIRECT("Result!G:G"),"NOT OK",INDIRECT("Result!A:A"),"*Safety*")</f>
        <v>#REF!</v>
      </c>
      <c r="P9" s="40">
        <f ca="1">IFERROR(P7/O7*O9,0)</f>
        <v>0</v>
      </c>
      <c r="Q9" s="40" t="e">
        <f ca="1">SUMIFS(INDIRECT("Result!K:K"),INDIRECT("Result!G:G"),"NOT OK",INDIRECT("Result!A:A"),"*RAMD*")</f>
        <v>#REF!</v>
      </c>
      <c r="R9" s="40">
        <f ca="1">IFERROR(R7/Q7*Q9,0)</f>
        <v>0</v>
      </c>
    </row>
    <row r="10" spans="1:21" s="22" customFormat="1" ht="16.5" x14ac:dyDescent="0.3">
      <c r="C10" s="23"/>
      <c r="D10" s="23"/>
      <c r="E10" s="24"/>
      <c r="F10" s="24"/>
      <c r="G10" s="24"/>
      <c r="J10"/>
      <c r="K10" s="44"/>
      <c r="L10" s="43" t="s">
        <v>54</v>
      </c>
      <c r="M10" s="40" t="e">
        <f ca="1">COUNTIF(INDIRECT("Result!G:G"),"NOT TESTED")</f>
        <v>#REF!</v>
      </c>
      <c r="N10" s="40">
        <f ca="1">IFERROR($N$7/$M$7*M10,0)</f>
        <v>0</v>
      </c>
      <c r="O10" s="40" t="e">
        <f ca="1">SUMIFS(INDIRECT("Result!K:K"),INDIRECT("Result!G:G"),"NOT TESTED",INDIRECT("Result!A:A"),"*Safety*")</f>
        <v>#REF!</v>
      </c>
      <c r="P10" s="40">
        <f ca="1">IFERROR(P7/O7*O10,0)</f>
        <v>0</v>
      </c>
      <c r="Q10" s="40" t="e">
        <f ca="1">SUMIFS(INDIRECT("Result!K:K"),INDIRECT("Result!G:G"),"NOT TESTED",INDIRECT("Result!A:A"),"*RAMD*")</f>
        <v>#REF!</v>
      </c>
      <c r="R10" s="40">
        <f ca="1">IFERROR(R7/Q7*Q10,0)</f>
        <v>0</v>
      </c>
      <c r="S10"/>
      <c r="T10"/>
      <c r="U10"/>
    </row>
    <row r="11" spans="1:21" ht="20.25" x14ac:dyDescent="0.35">
      <c r="C11" s="93" t="str">
        <f>IF('Release note'!E15="YES","Approved","Not Approved")</f>
        <v>Not Approved</v>
      </c>
      <c r="D11" s="93"/>
      <c r="E11" s="93"/>
      <c r="F11" s="93"/>
      <c r="G11" s="93"/>
      <c r="K11" s="45"/>
      <c r="L11" s="46"/>
    </row>
    <row r="15" spans="1:21" ht="14.45" customHeight="1" x14ac:dyDescent="0.25"/>
    <row r="16" spans="1:21" ht="16.899999999999999" customHeight="1" x14ac:dyDescent="0.3">
      <c r="A16" s="47"/>
      <c r="B16" s="48"/>
      <c r="C16" s="47"/>
      <c r="D16" s="47"/>
      <c r="E16" s="47"/>
      <c r="F16" s="47"/>
      <c r="G16" s="47"/>
      <c r="H16" s="47"/>
      <c r="I16" s="47"/>
    </row>
    <row r="17" spans="1:15" ht="16.899999999999999" customHeight="1" x14ac:dyDescent="0.3">
      <c r="A17" s="49"/>
      <c r="B17" s="90" t="e">
        <f ca="1">M7</f>
        <v>#REF!</v>
      </c>
      <c r="C17" s="50"/>
      <c r="D17" s="51" t="e">
        <f ca="1">M8</f>
        <v>#REF!</v>
      </c>
      <c r="E17" s="57" t="s">
        <v>57</v>
      </c>
      <c r="F17" s="58">
        <f ca="1">N8</f>
        <v>0</v>
      </c>
      <c r="G17" s="51" t="s">
        <v>8</v>
      </c>
      <c r="I17" s="50"/>
    </row>
    <row r="18" spans="1:15" ht="16.899999999999999" customHeight="1" x14ac:dyDescent="0.3">
      <c r="A18" s="49"/>
      <c r="B18" s="90"/>
      <c r="C18" s="49"/>
      <c r="D18" s="52" t="e">
        <f ca="1">M9</f>
        <v>#REF!</v>
      </c>
      <c r="E18" s="59" t="s">
        <v>57</v>
      </c>
      <c r="F18" s="60">
        <f ca="1">N9</f>
        <v>0</v>
      </c>
      <c r="G18" s="53" t="s">
        <v>48</v>
      </c>
      <c r="I18" s="49"/>
    </row>
    <row r="19" spans="1:15" s="22" customFormat="1" ht="16.5" x14ac:dyDescent="0.3">
      <c r="A19" s="49"/>
      <c r="B19" s="54" t="s">
        <v>47</v>
      </c>
      <c r="C19" s="49"/>
      <c r="D19" s="55" t="e">
        <f ca="1">M10</f>
        <v>#REF!</v>
      </c>
      <c r="E19" s="62" t="s">
        <v>57</v>
      </c>
      <c r="F19" s="63">
        <f ca="1">N10</f>
        <v>0</v>
      </c>
      <c r="G19" s="56" t="s">
        <v>10</v>
      </c>
      <c r="H19"/>
      <c r="I19" s="49"/>
      <c r="M19"/>
      <c r="N19"/>
      <c r="O19"/>
    </row>
    <row r="20" spans="1:15" ht="16.5" x14ac:dyDescent="0.3">
      <c r="A20" s="49"/>
      <c r="B20" s="49"/>
      <c r="C20" s="49"/>
      <c r="D20" s="49"/>
      <c r="E20" s="49"/>
      <c r="F20" s="49"/>
      <c r="G20" s="49"/>
      <c r="H20" s="49"/>
      <c r="I20" s="49"/>
    </row>
    <row r="21" spans="1:15" ht="16.899999999999999" customHeight="1" x14ac:dyDescent="0.3">
      <c r="A21" s="67"/>
      <c r="B21" s="48"/>
      <c r="C21" s="47"/>
      <c r="D21" s="47"/>
      <c r="E21" s="47"/>
      <c r="F21" s="47"/>
      <c r="G21" s="47"/>
      <c r="H21" s="47"/>
      <c r="I21" s="47"/>
    </row>
    <row r="22" spans="1:15" ht="16.899999999999999" customHeight="1" x14ac:dyDescent="0.3">
      <c r="A22" s="68"/>
      <c r="B22" s="90" t="e">
        <f ca="1">O7</f>
        <v>#REF!</v>
      </c>
      <c r="C22" s="49"/>
      <c r="D22" s="51" t="e">
        <f ca="1">O8</f>
        <v>#REF!</v>
      </c>
      <c r="E22" s="57" t="s">
        <v>57</v>
      </c>
      <c r="F22" s="58">
        <f ca="1">P8</f>
        <v>0</v>
      </c>
      <c r="G22" s="49"/>
      <c r="H22" s="49"/>
      <c r="I22" s="49"/>
    </row>
    <row r="23" spans="1:15" ht="16.5" x14ac:dyDescent="0.3">
      <c r="A23" s="49"/>
      <c r="B23" s="90"/>
      <c r="C23" s="49"/>
      <c r="D23" s="52" t="e">
        <f ca="1">O9</f>
        <v>#REF!</v>
      </c>
      <c r="E23" s="59" t="s">
        <v>57</v>
      </c>
      <c r="F23" s="60">
        <f ca="1">P9</f>
        <v>0</v>
      </c>
      <c r="G23" s="49"/>
      <c r="H23" s="49"/>
      <c r="I23" s="49"/>
    </row>
    <row r="24" spans="1:15" s="22" customFormat="1" ht="16.5" x14ac:dyDescent="0.3">
      <c r="A24" s="49"/>
      <c r="B24" s="61" t="s">
        <v>12</v>
      </c>
      <c r="C24" s="49"/>
      <c r="D24" s="55" t="e">
        <f ca="1">O10</f>
        <v>#REF!</v>
      </c>
      <c r="E24" s="62" t="s">
        <v>57</v>
      </c>
      <c r="F24" s="63">
        <f ca="1">P10</f>
        <v>0</v>
      </c>
      <c r="G24" s="49"/>
      <c r="H24" s="49"/>
      <c r="I24" s="49"/>
    </row>
    <row r="25" spans="1:15" ht="16.5" x14ac:dyDescent="0.3">
      <c r="A25" s="49"/>
      <c r="B25" s="49"/>
      <c r="C25" s="49"/>
      <c r="D25" s="49"/>
      <c r="E25" s="49"/>
      <c r="F25" s="49"/>
      <c r="G25" s="49"/>
      <c r="H25" s="61"/>
      <c r="I25" s="49"/>
    </row>
    <row r="26" spans="1:15" ht="16.899999999999999" customHeight="1" x14ac:dyDescent="0.3">
      <c r="A26" s="64"/>
      <c r="B26" s="48"/>
      <c r="C26" s="47"/>
      <c r="D26" s="47"/>
      <c r="E26" s="47"/>
      <c r="F26" s="47"/>
      <c r="G26" s="47"/>
      <c r="H26" s="47"/>
      <c r="I26" s="47"/>
    </row>
    <row r="27" spans="1:15" ht="16.899999999999999" customHeight="1" x14ac:dyDescent="0.3">
      <c r="A27" s="65"/>
      <c r="B27" s="90" t="e">
        <f ca="1">Q7</f>
        <v>#REF!</v>
      </c>
      <c r="C27" s="66"/>
      <c r="D27" s="51" t="e">
        <f ca="1">Q8</f>
        <v>#REF!</v>
      </c>
      <c r="E27" s="69" t="s">
        <v>57</v>
      </c>
      <c r="F27" s="70">
        <f ca="1">R8</f>
        <v>0</v>
      </c>
      <c r="G27" s="66"/>
      <c r="H27" s="49"/>
      <c r="I27" s="49"/>
    </row>
    <row r="28" spans="1:15" ht="16.5" x14ac:dyDescent="0.3">
      <c r="A28" s="49"/>
      <c r="B28" s="90"/>
      <c r="C28" s="49"/>
      <c r="D28" s="52" t="e">
        <f ca="1">Q9</f>
        <v>#REF!</v>
      </c>
      <c r="E28" s="59" t="s">
        <v>57</v>
      </c>
      <c r="F28" s="60">
        <f ca="1">R9</f>
        <v>0</v>
      </c>
      <c r="G28" s="49"/>
      <c r="H28" s="49"/>
      <c r="I28" s="49"/>
    </row>
    <row r="29" spans="1:15" s="22" customFormat="1" ht="16.5" x14ac:dyDescent="0.3">
      <c r="A29" s="49"/>
      <c r="B29" s="61" t="s">
        <v>43</v>
      </c>
      <c r="C29" s="49"/>
      <c r="D29" s="55" t="e">
        <f ca="1">Q10</f>
        <v>#REF!</v>
      </c>
      <c r="E29" s="62" t="s">
        <v>57</v>
      </c>
      <c r="F29" s="63">
        <f ca="1">R10</f>
        <v>0</v>
      </c>
      <c r="G29" s="49"/>
      <c r="H29" s="49"/>
      <c r="I29" s="49"/>
    </row>
    <row r="30" spans="1:15" ht="16.5" x14ac:dyDescent="0.3">
      <c r="A30" s="49"/>
      <c r="B30" s="49"/>
      <c r="C30" s="49"/>
      <c r="D30" s="49"/>
      <c r="E30" s="49"/>
      <c r="F30" s="49"/>
      <c r="G30" s="49"/>
      <c r="H30" s="49"/>
      <c r="I30" s="49"/>
    </row>
    <row r="31" spans="1:15" ht="16.5" x14ac:dyDescent="0.3">
      <c r="A31" s="47"/>
      <c r="B31" s="47"/>
      <c r="C31" s="47"/>
      <c r="D31" s="47"/>
      <c r="E31" s="47"/>
      <c r="F31" s="47"/>
      <c r="G31" s="47"/>
      <c r="H31" s="47"/>
      <c r="I31" s="47"/>
    </row>
    <row r="32" spans="1:15" ht="16.5" x14ac:dyDescent="0.3">
      <c r="A32" s="49"/>
      <c r="B32" s="74" t="e">
        <f ca="1">M7-O7-Q7</f>
        <v>#REF!</v>
      </c>
      <c r="C32" s="49"/>
      <c r="D32" s="49"/>
      <c r="E32" s="49"/>
      <c r="F32" s="49"/>
      <c r="G32" s="49"/>
      <c r="H32" s="49"/>
      <c r="I32" s="49"/>
    </row>
    <row r="33" spans="1:14" ht="16.5" x14ac:dyDescent="0.3">
      <c r="A33" s="49"/>
      <c r="B33" s="74"/>
      <c r="C33" s="49"/>
      <c r="D33" s="49"/>
      <c r="E33" s="49"/>
      <c r="F33" s="49"/>
      <c r="G33" s="49"/>
      <c r="H33" s="49"/>
      <c r="I33" s="49"/>
    </row>
    <row r="34" spans="1:14" s="22" customFormat="1" ht="16.5" x14ac:dyDescent="0.3">
      <c r="A34" s="49"/>
      <c r="B34" s="61" t="s">
        <v>49</v>
      </c>
      <c r="C34" s="49"/>
      <c r="D34" s="49"/>
      <c r="E34" s="49"/>
      <c r="F34" s="49"/>
      <c r="G34" s="49"/>
      <c r="H34" s="49"/>
      <c r="I34" s="49"/>
    </row>
    <row r="35" spans="1:14" ht="16.5" x14ac:dyDescent="0.3">
      <c r="A35" s="49"/>
      <c r="B35" s="49"/>
      <c r="C35" s="49"/>
      <c r="D35" s="49"/>
      <c r="E35" s="49"/>
      <c r="F35" s="49"/>
      <c r="G35" s="49"/>
      <c r="H35" s="49"/>
      <c r="I35" s="49"/>
    </row>
    <row r="36" spans="1:14" ht="32.450000000000003" customHeight="1" x14ac:dyDescent="0.25">
      <c r="A36" s="76" t="s">
        <v>62</v>
      </c>
      <c r="B36" s="76"/>
      <c r="C36" s="76"/>
      <c r="D36" s="76"/>
      <c r="E36" s="76"/>
      <c r="F36" s="76"/>
      <c r="G36" s="76"/>
      <c r="H36" s="76"/>
      <c r="I36" s="76"/>
    </row>
    <row r="37" spans="1:14" ht="8.4499999999999993" customHeight="1" x14ac:dyDescent="0.25">
      <c r="A37" s="11"/>
      <c r="B37" s="11"/>
      <c r="C37" s="11"/>
      <c r="D37" s="11"/>
      <c r="E37" s="11"/>
      <c r="F37" s="11"/>
      <c r="G37" s="11"/>
      <c r="H37" s="11"/>
      <c r="I37" s="11"/>
    </row>
    <row r="38" spans="1:14" x14ac:dyDescent="0.25">
      <c r="A38" s="77" t="s">
        <v>11</v>
      </c>
      <c r="B38" s="77"/>
      <c r="C38" s="38" t="s">
        <v>7</v>
      </c>
      <c r="D38" s="38"/>
      <c r="E38" s="38"/>
      <c r="F38" s="38"/>
      <c r="G38" s="38"/>
      <c r="H38" s="38"/>
      <c r="I38" s="38"/>
    </row>
    <row r="39" spans="1:14" s="3" customFormat="1" x14ac:dyDescent="0.25">
      <c r="A39" s="78" t="s">
        <v>8</v>
      </c>
      <c r="B39" s="78"/>
      <c r="C39" s="79" t="s">
        <v>59</v>
      </c>
      <c r="D39" s="79"/>
      <c r="E39" s="79"/>
      <c r="F39" s="79"/>
      <c r="G39" s="79"/>
      <c r="H39" s="79"/>
      <c r="I39" s="79"/>
      <c r="N39" s="22"/>
    </row>
    <row r="40" spans="1:14" s="3" customFormat="1" ht="27" customHeight="1" x14ac:dyDescent="0.25">
      <c r="A40" s="71" t="s">
        <v>9</v>
      </c>
      <c r="B40" s="71"/>
      <c r="C40" s="72" t="s">
        <v>60</v>
      </c>
      <c r="D40" s="72"/>
      <c r="E40" s="72"/>
      <c r="F40" s="72"/>
      <c r="G40" s="72"/>
      <c r="H40" s="72"/>
      <c r="I40" s="72"/>
      <c r="N40" s="22"/>
    </row>
    <row r="41" spans="1:14" s="3" customFormat="1" ht="24.6" customHeight="1" x14ac:dyDescent="0.25">
      <c r="A41" s="71" t="s">
        <v>10</v>
      </c>
      <c r="B41" s="71"/>
      <c r="C41" s="72" t="s">
        <v>61</v>
      </c>
      <c r="D41" s="73"/>
      <c r="E41" s="73"/>
      <c r="F41" s="73"/>
      <c r="G41" s="73"/>
      <c r="H41" s="73"/>
      <c r="I41" s="73"/>
      <c r="N41" s="22"/>
    </row>
    <row r="42" spans="1:14" s="3" customFormat="1" x14ac:dyDescent="0.25">
      <c r="A42" s="4"/>
      <c r="B42" s="4"/>
      <c r="C42" s="4"/>
      <c r="D42" s="4"/>
      <c r="E42" s="4"/>
      <c r="F42" s="4"/>
      <c r="G42" s="5"/>
      <c r="H42" s="4"/>
      <c r="I42" s="4"/>
      <c r="N42" s="22"/>
    </row>
    <row r="43" spans="1:14" s="3" customFormat="1" x14ac:dyDescent="0.25">
      <c r="A43" s="4"/>
      <c r="B43" s="6"/>
      <c r="C43" s="6"/>
      <c r="D43" s="6"/>
      <c r="E43" s="4"/>
      <c r="F43" s="4"/>
      <c r="G43" s="5"/>
      <c r="H43" s="4"/>
      <c r="I43" s="4"/>
      <c r="N43" s="22"/>
    </row>
    <row r="44" spans="1:14" s="3" customFormat="1" x14ac:dyDescent="0.25">
      <c r="A44" s="6"/>
      <c r="B44" s="4"/>
      <c r="C44" s="4"/>
      <c r="D44" s="4"/>
      <c r="E44" s="4"/>
      <c r="F44" s="4"/>
      <c r="G44" s="5"/>
      <c r="H44" s="4"/>
      <c r="I44" s="4"/>
      <c r="N44" s="22"/>
    </row>
    <row r="45" spans="1:14" s="3" customFormat="1" x14ac:dyDescent="0.25">
      <c r="A45" s="4"/>
      <c r="B45" s="4"/>
      <c r="C45" s="4"/>
      <c r="D45" s="4"/>
      <c r="E45" s="4"/>
      <c r="F45" s="4"/>
      <c r="G45" s="5"/>
      <c r="H45" s="4"/>
      <c r="I45" s="4"/>
      <c r="N45" s="22"/>
    </row>
  </sheetData>
  <dataConsolidate/>
  <mergeCells count="20">
    <mergeCell ref="A5:I5"/>
    <mergeCell ref="A36:I36"/>
    <mergeCell ref="A38:B38"/>
    <mergeCell ref="A39:B39"/>
    <mergeCell ref="C39:I39"/>
    <mergeCell ref="C7:D7"/>
    <mergeCell ref="C8:D8"/>
    <mergeCell ref="E7:G7"/>
    <mergeCell ref="E8:G8"/>
    <mergeCell ref="E9:G9"/>
    <mergeCell ref="B17:B18"/>
    <mergeCell ref="C9:D9"/>
    <mergeCell ref="B22:B23"/>
    <mergeCell ref="B27:B28"/>
    <mergeCell ref="C11:G11"/>
    <mergeCell ref="A41:B41"/>
    <mergeCell ref="C41:I41"/>
    <mergeCell ref="A40:B40"/>
    <mergeCell ref="C40:I40"/>
    <mergeCell ref="B32:B33"/>
  </mergeCells>
  <conditionalFormatting sqref="C11:G11">
    <cfRule type="containsText" dxfId="27" priority="1" operator="containsText" text="Not approved">
      <formula>NOT(ISERROR(SEARCH("Not approved",C11)))</formula>
    </cfRule>
    <cfRule type="containsText" dxfId="26" priority="2" operator="containsText" text="Approved">
      <formula>NOT(ISERROR(SEARCH("Approved",C11)))</formula>
    </cfRule>
  </conditionalFormatting>
  <dataValidations disablePrompts="1" count="1">
    <dataValidation type="list" allowBlank="1" showInputMessage="1" showErrorMessage="1" sqref="E8:G8">
      <formula1>"ALPHA,BETA,RC,RTM"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&amp;L&amp;"-,Bold"Overview</oddHeader>
    <oddFooter>&amp;L&amp;8
&amp;D
Doc ID: &amp;F&amp;C&amp;P/&amp;N&amp;R
LIEBHERR MACHINES BULLE SA</oddFooter>
  </headerFooter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0" operator="containsText" id="{74BBD02E-808E-4ED7-8754-8AE61EB563D1}">
            <xm:f>NOT(ISERROR(SEARCH("(OK)",A39)))</xm:f>
            <xm:f>"(OK)"</xm:f>
            <x14:dxf>
              <fill>
                <patternFill>
                  <bgColor rgb="FF00B050"/>
                </patternFill>
              </fill>
            </x14:dxf>
          </x14:cfRule>
          <x14:cfRule type="containsText" priority="15" operator="containsText" id="{0A21520E-AF7E-4D2D-A192-00456033973A}">
            <xm:f>NOT(ISERROR(SEARCH("NOT OK",A39)))</xm:f>
            <xm:f>"NOT OK"</xm:f>
            <x14:dxf>
              <fill>
                <patternFill>
                  <bgColor rgb="FFFF0000"/>
                </patternFill>
              </fill>
            </x14:dxf>
          </x14:cfRule>
          <x14:cfRule type="containsText" priority="16" operator="containsText" id="{4C35AF67-2F59-4D24-885B-11BBA2E57414}">
            <xm:f>NOT(ISERROR(SEARCH("OK",A39)))</xm:f>
            <xm:f>"OK"</xm:f>
            <x14:dxf>
              <fill>
                <patternFill>
                  <bgColor rgb="FF00B050"/>
                </patternFill>
              </fill>
            </x14:dxf>
          </x14:cfRule>
          <xm:sqref>A39 A41</xm:sqref>
        </x14:conditionalFormatting>
        <x14:conditionalFormatting xmlns:xm="http://schemas.microsoft.com/office/excel/2006/main">
          <x14:cfRule type="containsText" priority="11" operator="containsText" id="{C202673B-02CC-4198-8158-A193E978E020}">
            <xm:f>NOT(ISERROR(SEARCH("NOT IMPLEMENTED",A39)))</xm:f>
            <xm:f>"NOT IMPLEMENTED"</xm:f>
            <x14:dxf>
              <fill>
                <patternFill>
                  <bgColor rgb="FFF18B0F"/>
                </patternFill>
              </fill>
            </x14:dxf>
          </x14:cfRule>
          <x14:cfRule type="containsText" priority="12" operator="containsText" id="{2436C260-CF4A-491E-9BFD-982B4CA30CA8}">
            <xm:f>NOT(ISERROR(SEARCH("NOT TESTED",A39)))</xm:f>
            <xm:f>"NOT TESTED"</xm:f>
            <x14:dxf>
              <fill>
                <patternFill>
                  <bgColor rgb="FF00B0F0"/>
                </patternFill>
              </fill>
            </x14:dxf>
          </x14:cfRule>
          <x14:cfRule type="containsText" priority="13" operator="containsText" id="{494DF727-F3E9-46ED-B1E0-E021DC5CD60E}">
            <xm:f>NOT(ISERROR(SEARCH("NOT APPLICABLE",A39)))</xm:f>
            <xm:f>"NOT APPLICABLE"</xm:f>
            <x14:dxf>
              <fill>
                <patternFill>
                  <bgColor rgb="FFA86ED4"/>
                </patternFill>
              </fill>
            </x14:dxf>
          </x14:cfRule>
          <x14:cfRule type="containsText" priority="14" operator="containsText" id="{98E4DED6-485C-44B1-B5E7-8F95721FEF9A}">
            <xm:f>NOT(ISERROR(SEARCH("WARNING",A39)))</xm:f>
            <xm:f>"WARNING"</xm:f>
            <x14:dxf>
              <fill>
                <patternFill>
                  <bgColor rgb="FFFFFF00"/>
                </patternFill>
              </fill>
            </x14:dxf>
          </x14:cfRule>
          <xm:sqref>A39 A41</xm:sqref>
        </x14:conditionalFormatting>
        <x14:conditionalFormatting xmlns:xm="http://schemas.microsoft.com/office/excel/2006/main">
          <x14:cfRule type="containsText" priority="3" operator="containsText" id="{0EC8FD03-9659-482D-A387-C48E0E00C644}">
            <xm:f>NOT(ISERROR(SEARCH("(OK)",A40)))</xm:f>
            <xm:f>"(OK)"</xm:f>
            <x14:dxf>
              <fill>
                <patternFill>
                  <bgColor rgb="FF00B050"/>
                </patternFill>
              </fill>
            </x14:dxf>
          </x14:cfRule>
          <x14:cfRule type="containsText" priority="8" operator="containsText" id="{D276885F-4500-4CD5-A5AA-C231A3A5612F}">
            <xm:f>NOT(ISERROR(SEARCH("NOT OK",A40)))</xm:f>
            <xm:f>"NOT OK"</xm:f>
            <x14:dxf>
              <fill>
                <patternFill>
                  <bgColor rgb="FFFF0000"/>
                </patternFill>
              </fill>
            </x14:dxf>
          </x14:cfRule>
          <x14:cfRule type="containsText" priority="9" operator="containsText" id="{F300787E-07E4-4930-A436-914B455A72B1}">
            <xm:f>NOT(ISERROR(SEARCH("OK",A40)))</xm:f>
            <xm:f>"OK"</xm:f>
            <x14:dxf>
              <fill>
                <patternFill>
                  <bgColor rgb="FF00B050"/>
                </patternFill>
              </fill>
            </x14:dxf>
          </x14:cfRule>
          <xm:sqref>A40</xm:sqref>
        </x14:conditionalFormatting>
        <x14:conditionalFormatting xmlns:xm="http://schemas.microsoft.com/office/excel/2006/main">
          <x14:cfRule type="containsText" priority="4" operator="containsText" id="{56263E35-4855-479A-820D-0ADC6793150F}">
            <xm:f>NOT(ISERROR(SEARCH("NOT IMPLEMENTED",A40)))</xm:f>
            <xm:f>"NOT IMPLEMENTED"</xm:f>
            <x14:dxf>
              <fill>
                <patternFill>
                  <bgColor rgb="FFF18B0F"/>
                </patternFill>
              </fill>
            </x14:dxf>
          </x14:cfRule>
          <x14:cfRule type="containsText" priority="5" operator="containsText" id="{2BF952BC-F76B-4202-849E-54E554BBED27}">
            <xm:f>NOT(ISERROR(SEARCH("NOT TESTED",A40)))</xm:f>
            <xm:f>"NOT TESTED"</xm:f>
            <x14:dxf>
              <fill>
                <patternFill>
                  <bgColor rgb="FF00B0F0"/>
                </patternFill>
              </fill>
            </x14:dxf>
          </x14:cfRule>
          <x14:cfRule type="containsText" priority="6" operator="containsText" id="{CE43FA3B-B61E-4720-830E-1F4C61FBF928}">
            <xm:f>NOT(ISERROR(SEARCH("NOT APPLICABLE",A40)))</xm:f>
            <xm:f>"NOT APPLICABLE"</xm:f>
            <x14:dxf>
              <fill>
                <patternFill>
                  <bgColor rgb="FFA86ED4"/>
                </patternFill>
              </fill>
            </x14:dxf>
          </x14:cfRule>
          <x14:cfRule type="containsText" priority="7" operator="containsText" id="{91C043C6-7F91-4BCC-9E25-7AE52103BF9D}">
            <xm:f>NOT(ISERROR(SEARCH("WARNING",A40)))</xm:f>
            <xm:f>"WARNING"</xm:f>
            <x14:dxf>
              <fill>
                <patternFill>
                  <bgColor rgb="FFFFFF00"/>
                </patternFill>
              </fill>
            </x14:dxf>
          </x14:cfRule>
          <xm:sqref>A40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L50"/>
  <sheetViews>
    <sheetView showGridLines="0" view="pageLayout" zoomScale="70" zoomScaleNormal="100" zoomScalePageLayoutView="70" workbookViewId="0">
      <selection activeCell="C34" sqref="C34:I45"/>
    </sheetView>
  </sheetViews>
  <sheetFormatPr defaultRowHeight="15" x14ac:dyDescent="0.25"/>
  <sheetData>
    <row r="1" spans="1:12" ht="15" customHeight="1" x14ac:dyDescent="0.25">
      <c r="A1" s="97" t="s">
        <v>46</v>
      </c>
      <c r="B1" s="97"/>
      <c r="C1" s="97"/>
      <c r="D1" s="97"/>
      <c r="E1" s="97"/>
      <c r="F1" s="97"/>
      <c r="G1" s="97"/>
      <c r="H1" s="97"/>
      <c r="I1" s="97"/>
      <c r="J1" s="22"/>
      <c r="K1" s="22"/>
      <c r="L1" s="22"/>
    </row>
    <row r="2" spans="1:12" ht="15" customHeight="1" x14ac:dyDescent="0.25">
      <c r="A2" s="30" t="s">
        <v>1</v>
      </c>
      <c r="B2" s="30"/>
      <c r="C2" s="94"/>
      <c r="D2" s="94"/>
      <c r="E2" s="94"/>
      <c r="F2" s="94"/>
      <c r="G2" s="94"/>
      <c r="H2" s="94"/>
      <c r="I2" s="94"/>
      <c r="J2" s="96" t="s">
        <v>28</v>
      </c>
      <c r="K2" s="96"/>
      <c r="L2" s="7" t="s">
        <v>25</v>
      </c>
    </row>
    <row r="3" spans="1:12" x14ac:dyDescent="0.25">
      <c r="A3" s="28"/>
      <c r="B3" s="28"/>
      <c r="C3" s="95"/>
      <c r="D3" s="95"/>
      <c r="E3" s="95"/>
      <c r="F3" s="95"/>
      <c r="G3" s="95"/>
      <c r="H3" s="95"/>
      <c r="I3" s="95"/>
      <c r="J3" s="22"/>
      <c r="K3" s="22"/>
      <c r="L3" s="22"/>
    </row>
    <row r="4" spans="1:12" x14ac:dyDescent="0.25">
      <c r="A4" s="28"/>
      <c r="B4" s="28"/>
      <c r="C4" s="95"/>
      <c r="D4" s="95"/>
      <c r="E4" s="95"/>
      <c r="F4" s="95"/>
      <c r="G4" s="95"/>
      <c r="H4" s="95"/>
      <c r="I4" s="95"/>
      <c r="J4" s="22"/>
      <c r="K4" s="22"/>
      <c r="L4" s="22"/>
    </row>
    <row r="5" spans="1:12" s="22" customFormat="1" x14ac:dyDescent="0.25">
      <c r="A5" s="28"/>
      <c r="B5" s="28"/>
      <c r="C5" s="95"/>
      <c r="D5" s="95"/>
      <c r="E5" s="95"/>
      <c r="F5" s="95"/>
      <c r="G5" s="95"/>
      <c r="H5" s="95"/>
      <c r="I5" s="95"/>
    </row>
    <row r="6" spans="1:12" s="22" customFormat="1" x14ac:dyDescent="0.25">
      <c r="A6" s="28"/>
      <c r="B6" s="28"/>
      <c r="C6" s="95"/>
      <c r="D6" s="95"/>
      <c r="E6" s="95"/>
      <c r="F6" s="95"/>
      <c r="G6" s="95"/>
      <c r="H6" s="95"/>
      <c r="I6" s="95"/>
    </row>
    <row r="7" spans="1:12" s="22" customFormat="1" x14ac:dyDescent="0.25">
      <c r="A7" s="28"/>
      <c r="B7" s="28"/>
      <c r="C7" s="95"/>
      <c r="D7" s="95"/>
      <c r="E7" s="95"/>
      <c r="F7" s="95"/>
      <c r="G7" s="95"/>
      <c r="H7" s="95"/>
      <c r="I7" s="95"/>
    </row>
    <row r="8" spans="1:12" x14ac:dyDescent="0.25">
      <c r="A8" s="28"/>
      <c r="B8" s="28"/>
      <c r="C8" s="95"/>
      <c r="D8" s="95"/>
      <c r="E8" s="95"/>
      <c r="F8" s="95"/>
      <c r="G8" s="95"/>
      <c r="H8" s="95"/>
      <c r="I8" s="95"/>
      <c r="J8" s="22"/>
      <c r="K8" s="22"/>
      <c r="L8" s="22"/>
    </row>
    <row r="9" spans="1:12" x14ac:dyDescent="0.25">
      <c r="A9" s="28"/>
      <c r="B9" s="28"/>
      <c r="C9" s="95"/>
      <c r="D9" s="95"/>
      <c r="E9" s="95"/>
      <c r="F9" s="95"/>
      <c r="G9" s="95"/>
      <c r="H9" s="95"/>
      <c r="I9" s="95"/>
      <c r="J9" s="22"/>
      <c r="K9" s="22"/>
      <c r="L9" s="22"/>
    </row>
    <row r="10" spans="1:12" x14ac:dyDescent="0.25">
      <c r="A10" s="28"/>
      <c r="B10" s="28"/>
      <c r="C10" s="95"/>
      <c r="D10" s="95"/>
      <c r="E10" s="95"/>
      <c r="F10" s="95"/>
      <c r="G10" s="95"/>
      <c r="H10" s="95"/>
      <c r="I10" s="95"/>
      <c r="J10" s="22"/>
      <c r="K10" s="22"/>
      <c r="L10" s="22"/>
    </row>
    <row r="11" spans="1:12" x14ac:dyDescent="0.25">
      <c r="A11" s="28"/>
      <c r="B11" s="28"/>
      <c r="C11" s="95"/>
      <c r="D11" s="95"/>
      <c r="E11" s="95"/>
      <c r="F11" s="95"/>
      <c r="G11" s="95"/>
      <c r="H11" s="95"/>
      <c r="I11" s="95"/>
      <c r="J11" s="22"/>
      <c r="K11" s="22"/>
      <c r="L11" s="22"/>
    </row>
    <row r="12" spans="1:12" x14ac:dyDescent="0.25">
      <c r="A12" s="28"/>
      <c r="B12" s="28"/>
      <c r="C12" s="95"/>
      <c r="D12" s="95"/>
      <c r="E12" s="95"/>
      <c r="F12" s="95"/>
      <c r="G12" s="95"/>
      <c r="H12" s="95"/>
      <c r="I12" s="95"/>
      <c r="J12" s="22"/>
      <c r="K12" s="22"/>
      <c r="L12" s="22"/>
    </row>
    <row r="13" spans="1:12" x14ac:dyDescent="0.25">
      <c r="A13" s="22"/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</row>
    <row r="14" spans="1:12" x14ac:dyDescent="0.25">
      <c r="A14" s="101" t="s">
        <v>31</v>
      </c>
      <c r="B14" s="101"/>
      <c r="C14" s="101"/>
      <c r="D14" s="101"/>
      <c r="E14" s="101"/>
      <c r="F14" s="101"/>
      <c r="G14" s="101"/>
      <c r="H14" s="101"/>
      <c r="I14" s="101"/>
    </row>
    <row r="15" spans="1:12" x14ac:dyDescent="0.25">
      <c r="A15" s="26" t="s">
        <v>29</v>
      </c>
      <c r="B15" s="26"/>
      <c r="C15" s="27"/>
      <c r="D15" s="27"/>
      <c r="E15" s="102" t="s">
        <v>30</v>
      </c>
      <c r="F15" s="102"/>
      <c r="G15" s="102"/>
      <c r="H15" s="102"/>
      <c r="I15" s="102"/>
    </row>
    <row r="16" spans="1:12" x14ac:dyDescent="0.25">
      <c r="A16" s="31" t="s">
        <v>0</v>
      </c>
      <c r="B16" s="31"/>
      <c r="C16" s="32"/>
      <c r="D16" s="32"/>
      <c r="E16" s="103" t="s">
        <v>33</v>
      </c>
      <c r="F16" s="103"/>
      <c r="G16" s="37"/>
      <c r="H16" s="103" t="s">
        <v>37</v>
      </c>
      <c r="I16" s="103"/>
    </row>
    <row r="17" spans="1:9" x14ac:dyDescent="0.25">
      <c r="A17" s="31"/>
      <c r="B17" s="31"/>
      <c r="C17" s="32"/>
      <c r="D17" s="32"/>
      <c r="E17" s="103" t="s">
        <v>34</v>
      </c>
      <c r="F17" s="103"/>
      <c r="G17" s="37"/>
      <c r="H17" s="104" t="s">
        <v>38</v>
      </c>
      <c r="I17" s="103"/>
    </row>
    <row r="18" spans="1:9" x14ac:dyDescent="0.25">
      <c r="A18" s="31"/>
      <c r="B18" s="31"/>
      <c r="C18" s="32"/>
      <c r="D18" s="32"/>
      <c r="E18" s="103" t="s">
        <v>35</v>
      </c>
      <c r="F18" s="103"/>
      <c r="G18" s="37"/>
      <c r="H18" s="103"/>
      <c r="I18" s="103"/>
    </row>
    <row r="19" spans="1:9" x14ac:dyDescent="0.25">
      <c r="A19" s="31"/>
      <c r="B19" s="31"/>
      <c r="C19" s="32"/>
      <c r="D19" s="32"/>
      <c r="E19" s="103" t="s">
        <v>36</v>
      </c>
      <c r="F19" s="103"/>
      <c r="G19" s="37"/>
      <c r="H19" s="105" t="s">
        <v>39</v>
      </c>
      <c r="I19" s="105"/>
    </row>
    <row r="20" spans="1:9" x14ac:dyDescent="0.25">
      <c r="A20" s="30" t="s">
        <v>1</v>
      </c>
      <c r="B20" s="30"/>
      <c r="C20" s="94"/>
      <c r="D20" s="94"/>
      <c r="E20" s="94"/>
      <c r="F20" s="94"/>
      <c r="G20" s="94"/>
      <c r="H20" s="94"/>
      <c r="I20" s="94"/>
    </row>
    <row r="21" spans="1:9" x14ac:dyDescent="0.25">
      <c r="A21" s="28"/>
      <c r="B21" s="28"/>
      <c r="C21" s="95"/>
      <c r="D21" s="95"/>
      <c r="E21" s="95"/>
      <c r="F21" s="95"/>
      <c r="G21" s="95"/>
      <c r="H21" s="95"/>
      <c r="I21" s="95"/>
    </row>
    <row r="22" spans="1:9" x14ac:dyDescent="0.25">
      <c r="A22" s="28"/>
      <c r="B22" s="28"/>
      <c r="C22" s="95"/>
      <c r="D22" s="95"/>
      <c r="E22" s="95"/>
      <c r="F22" s="95"/>
      <c r="G22" s="95"/>
      <c r="H22" s="95"/>
      <c r="I22" s="95"/>
    </row>
    <row r="23" spans="1:9" x14ac:dyDescent="0.25">
      <c r="A23" s="28"/>
      <c r="B23" s="28"/>
      <c r="C23" s="95"/>
      <c r="D23" s="95"/>
      <c r="E23" s="95"/>
      <c r="F23" s="95"/>
      <c r="G23" s="95"/>
      <c r="H23" s="95"/>
      <c r="I23" s="95"/>
    </row>
    <row r="24" spans="1:9" x14ac:dyDescent="0.25">
      <c r="A24" s="28"/>
      <c r="B24" s="28"/>
      <c r="C24" s="95"/>
      <c r="D24" s="95"/>
      <c r="E24" s="95"/>
      <c r="F24" s="95"/>
      <c r="G24" s="95"/>
      <c r="H24" s="95"/>
      <c r="I24" s="95"/>
    </row>
    <row r="25" spans="1:9" s="22" customFormat="1" x14ac:dyDescent="0.25">
      <c r="A25" s="28"/>
      <c r="B25" s="28"/>
      <c r="C25" s="95"/>
      <c r="D25" s="95"/>
      <c r="E25" s="95"/>
      <c r="F25" s="95"/>
      <c r="G25" s="95"/>
      <c r="H25" s="95"/>
      <c r="I25" s="95"/>
    </row>
    <row r="26" spans="1:9" s="22" customFormat="1" x14ac:dyDescent="0.25">
      <c r="A26" s="28"/>
      <c r="B26" s="28"/>
      <c r="C26" s="95"/>
      <c r="D26" s="95"/>
      <c r="E26" s="95"/>
      <c r="F26" s="95"/>
      <c r="G26" s="95"/>
      <c r="H26" s="95"/>
      <c r="I26" s="95"/>
    </row>
    <row r="27" spans="1:9" x14ac:dyDescent="0.25">
      <c r="A27" s="28"/>
      <c r="B27" s="28"/>
      <c r="C27" s="95"/>
      <c r="D27" s="95"/>
      <c r="E27" s="95"/>
      <c r="F27" s="95"/>
      <c r="G27" s="95"/>
      <c r="H27" s="95"/>
      <c r="I27" s="95"/>
    </row>
    <row r="28" spans="1:9" x14ac:dyDescent="0.25">
      <c r="A28" s="28"/>
      <c r="B28" s="28"/>
      <c r="C28" s="95"/>
      <c r="D28" s="95"/>
      <c r="E28" s="95"/>
      <c r="F28" s="95"/>
      <c r="G28" s="95"/>
      <c r="H28" s="95"/>
      <c r="I28" s="95"/>
    </row>
    <row r="29" spans="1:9" x14ac:dyDescent="0.25">
      <c r="A29" s="28"/>
      <c r="B29" s="28"/>
      <c r="C29" s="95"/>
      <c r="D29" s="95"/>
      <c r="E29" s="95"/>
      <c r="F29" s="95"/>
      <c r="G29" s="95"/>
      <c r="H29" s="95"/>
      <c r="I29" s="95"/>
    </row>
    <row r="30" spans="1:9" x14ac:dyDescent="0.25">
      <c r="A30" s="28"/>
      <c r="B30" s="28"/>
      <c r="C30" s="95"/>
      <c r="D30" s="95"/>
      <c r="E30" s="95"/>
      <c r="F30" s="95"/>
      <c r="G30" s="95"/>
      <c r="H30" s="95"/>
      <c r="I30" s="95"/>
    </row>
    <row r="31" spans="1:9" x14ac:dyDescent="0.25">
      <c r="A31" s="28"/>
      <c r="B31" s="28"/>
      <c r="C31" s="95"/>
      <c r="D31" s="95"/>
      <c r="E31" s="95"/>
      <c r="F31" s="95"/>
      <c r="G31" s="95"/>
      <c r="H31" s="95"/>
      <c r="I31" s="95"/>
    </row>
    <row r="32" spans="1:9" x14ac:dyDescent="0.25">
      <c r="A32" s="28"/>
      <c r="B32" s="28"/>
      <c r="C32" s="95"/>
      <c r="D32" s="95"/>
      <c r="E32" s="95"/>
      <c r="F32" s="95"/>
      <c r="G32" s="95"/>
      <c r="H32" s="95"/>
      <c r="I32" s="95"/>
    </row>
    <row r="33" spans="1:9" x14ac:dyDescent="0.25">
      <c r="A33" s="33"/>
      <c r="B33" s="33"/>
      <c r="C33" s="106"/>
      <c r="D33" s="106"/>
      <c r="E33" s="106"/>
      <c r="F33" s="106"/>
      <c r="G33" s="106"/>
      <c r="H33" s="106"/>
      <c r="I33" s="106"/>
    </row>
    <row r="34" spans="1:9" x14ac:dyDescent="0.25">
      <c r="A34" s="30" t="s">
        <v>32</v>
      </c>
      <c r="B34" s="30"/>
      <c r="C34" s="94"/>
      <c r="D34" s="94"/>
      <c r="E34" s="94"/>
      <c r="F34" s="94"/>
      <c r="G34" s="94"/>
      <c r="H34" s="94"/>
      <c r="I34" s="94"/>
    </row>
    <row r="35" spans="1:9" x14ac:dyDescent="0.25">
      <c r="A35" s="28"/>
      <c r="B35" s="28"/>
      <c r="C35" s="95"/>
      <c r="D35" s="95"/>
      <c r="E35" s="95"/>
      <c r="F35" s="95"/>
      <c r="G35" s="95"/>
      <c r="H35" s="95"/>
      <c r="I35" s="95"/>
    </row>
    <row r="36" spans="1:9" s="22" customFormat="1" x14ac:dyDescent="0.25">
      <c r="A36" s="28"/>
      <c r="B36" s="28"/>
      <c r="C36" s="95"/>
      <c r="D36" s="95"/>
      <c r="E36" s="95"/>
      <c r="F36" s="95"/>
      <c r="G36" s="95"/>
      <c r="H36" s="95"/>
      <c r="I36" s="95"/>
    </row>
    <row r="37" spans="1:9" x14ac:dyDescent="0.25">
      <c r="A37" s="28"/>
      <c r="B37" s="28"/>
      <c r="C37" s="95"/>
      <c r="D37" s="95"/>
      <c r="E37" s="95"/>
      <c r="F37" s="95"/>
      <c r="G37" s="95"/>
      <c r="H37" s="95"/>
      <c r="I37" s="95"/>
    </row>
    <row r="38" spans="1:9" s="22" customFormat="1" x14ac:dyDescent="0.25">
      <c r="A38" s="28"/>
      <c r="B38" s="28"/>
      <c r="C38" s="95"/>
      <c r="D38" s="95"/>
      <c r="E38" s="95"/>
      <c r="F38" s="95"/>
      <c r="G38" s="95"/>
      <c r="H38" s="95"/>
      <c r="I38" s="95"/>
    </row>
    <row r="39" spans="1:9" s="22" customFormat="1" x14ac:dyDescent="0.25">
      <c r="A39" s="28"/>
      <c r="B39" s="28"/>
      <c r="C39" s="95"/>
      <c r="D39" s="95"/>
      <c r="E39" s="95"/>
      <c r="F39" s="95"/>
      <c r="G39" s="95"/>
      <c r="H39" s="95"/>
      <c r="I39" s="95"/>
    </row>
    <row r="40" spans="1:9" x14ac:dyDescent="0.25">
      <c r="A40" s="28"/>
      <c r="B40" s="28"/>
      <c r="C40" s="95"/>
      <c r="D40" s="95"/>
      <c r="E40" s="95"/>
      <c r="F40" s="95"/>
      <c r="G40" s="95"/>
      <c r="H40" s="95"/>
      <c r="I40" s="95"/>
    </row>
    <row r="41" spans="1:9" x14ac:dyDescent="0.25">
      <c r="A41" s="28"/>
      <c r="B41" s="28"/>
      <c r="C41" s="95"/>
      <c r="D41" s="95"/>
      <c r="E41" s="95"/>
      <c r="F41" s="95"/>
      <c r="G41" s="95"/>
      <c r="H41" s="95"/>
      <c r="I41" s="95"/>
    </row>
    <row r="42" spans="1:9" x14ac:dyDescent="0.25">
      <c r="A42" s="28"/>
      <c r="B42" s="28"/>
      <c r="C42" s="95"/>
      <c r="D42" s="95"/>
      <c r="E42" s="95"/>
      <c r="F42" s="95"/>
      <c r="G42" s="95"/>
      <c r="H42" s="95"/>
      <c r="I42" s="95"/>
    </row>
    <row r="43" spans="1:9" x14ac:dyDescent="0.25">
      <c r="A43" s="28"/>
      <c r="B43" s="28"/>
      <c r="C43" s="95"/>
      <c r="D43" s="95"/>
      <c r="E43" s="95"/>
      <c r="F43" s="95"/>
      <c r="G43" s="95"/>
      <c r="H43" s="95"/>
      <c r="I43" s="95"/>
    </row>
    <row r="44" spans="1:9" x14ac:dyDescent="0.25">
      <c r="A44" s="28"/>
      <c r="B44" s="28"/>
      <c r="C44" s="95"/>
      <c r="D44" s="95"/>
      <c r="E44" s="95"/>
      <c r="F44" s="95"/>
      <c r="G44" s="95"/>
      <c r="H44" s="95"/>
      <c r="I44" s="95"/>
    </row>
    <row r="45" spans="1:9" x14ac:dyDescent="0.25">
      <c r="A45" s="28"/>
      <c r="B45" s="28"/>
      <c r="C45" s="95"/>
      <c r="D45" s="95"/>
      <c r="E45" s="95"/>
      <c r="F45" s="95"/>
      <c r="G45" s="95"/>
      <c r="H45" s="95"/>
      <c r="I45" s="95"/>
    </row>
    <row r="46" spans="1:9" x14ac:dyDescent="0.25">
      <c r="A46" s="22"/>
      <c r="B46" s="22"/>
      <c r="C46" s="22"/>
      <c r="D46" s="22"/>
      <c r="E46" s="22"/>
      <c r="F46" s="22"/>
      <c r="G46" s="22"/>
      <c r="H46" s="22"/>
      <c r="I46" s="22"/>
    </row>
    <row r="47" spans="1:9" x14ac:dyDescent="0.25">
      <c r="A47" s="107" t="s">
        <v>40</v>
      </c>
      <c r="B47" s="108"/>
      <c r="C47" s="108"/>
      <c r="D47" s="108"/>
      <c r="E47" s="108"/>
      <c r="F47" s="108"/>
      <c r="G47" s="108"/>
      <c r="H47" s="108"/>
      <c r="I47" s="109"/>
    </row>
    <row r="48" spans="1:9" x14ac:dyDescent="0.25">
      <c r="A48" s="34" t="s">
        <v>41</v>
      </c>
      <c r="B48" s="34"/>
      <c r="C48" s="35"/>
      <c r="D48" s="35"/>
      <c r="E48" s="98" t="s">
        <v>42</v>
      </c>
      <c r="F48" s="99"/>
      <c r="G48" s="99"/>
      <c r="H48" s="99"/>
      <c r="I48" s="99"/>
    </row>
    <row r="49" spans="1:9" x14ac:dyDescent="0.25">
      <c r="A49" s="28"/>
      <c r="B49" s="28"/>
      <c r="C49" s="29"/>
      <c r="D49" s="29"/>
      <c r="E49" s="100"/>
      <c r="F49" s="100"/>
      <c r="G49" s="100"/>
      <c r="H49" s="100"/>
      <c r="I49" s="100"/>
    </row>
    <row r="50" spans="1:9" x14ac:dyDescent="0.25">
      <c r="A50" s="28"/>
      <c r="B50" s="28"/>
      <c r="C50" s="29"/>
      <c r="D50" s="29"/>
      <c r="E50" s="100"/>
      <c r="F50" s="100"/>
      <c r="G50" s="100"/>
      <c r="H50" s="100"/>
      <c r="I50" s="100"/>
    </row>
  </sheetData>
  <mergeCells count="16">
    <mergeCell ref="C2:I12"/>
    <mergeCell ref="J2:K2"/>
    <mergeCell ref="A1:I1"/>
    <mergeCell ref="E48:I50"/>
    <mergeCell ref="A14:I14"/>
    <mergeCell ref="E15:I15"/>
    <mergeCell ref="E16:F16"/>
    <mergeCell ref="H16:I16"/>
    <mergeCell ref="E17:F17"/>
    <mergeCell ref="H17:I18"/>
    <mergeCell ref="E18:F18"/>
    <mergeCell ref="E19:F19"/>
    <mergeCell ref="H19:I19"/>
    <mergeCell ref="C20:I33"/>
    <mergeCell ref="C34:I45"/>
    <mergeCell ref="A47:I47"/>
  </mergeCells>
  <conditionalFormatting sqref="E15:I15">
    <cfRule type="endsWith" dxfId="11" priority="2" operator="endsWith" text="]">
      <formula>RIGHT(E15,LEN("]"))="]"</formula>
    </cfRule>
  </conditionalFormatting>
  <conditionalFormatting sqref="A15:D15 A1 A48">
    <cfRule type="expression" dxfId="10" priority="5">
      <formula>COUNTIF($L$54,"no")</formula>
    </cfRule>
  </conditionalFormatting>
  <conditionalFormatting sqref="E15">
    <cfRule type="expression" dxfId="9" priority="3">
      <formula>COUNTIF($L$54,"no")</formula>
    </cfRule>
  </conditionalFormatting>
  <conditionalFormatting sqref="A47:I47">
    <cfRule type="expression" dxfId="8" priority="1">
      <formula>COUNTIF($L$54,"no")</formula>
    </cfRule>
  </conditionalFormatting>
  <dataValidations count="2">
    <dataValidation type="list" allowBlank="1" showInputMessage="1" sqref="E15:I15">
      <formula1>"[Dropdown list],YES,NO"</formula1>
    </dataValidation>
    <dataValidation type="list" allowBlank="1" showInputMessage="1" showErrorMessage="1" sqref="L2">
      <formula1>"Yes,No"</formula1>
    </dataValidation>
  </dataValidations>
  <pageMargins left="0.7" right="0.7" top="0.75" bottom="0.75" header="0.3" footer="0.3"/>
  <pageSetup paperSize="9" orientation="portrait" r:id="rId1"/>
  <headerFooter>
    <oddHeader>&amp;L&amp;"-,Bold"Release Note</oddHeader>
    <oddFooter>&amp;L&amp;8&amp;D
Doc ID: &amp;F&amp;C&amp;P/&amp;N&amp;R
LIEBHERR MACHINES BULLE SA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I45"/>
  <sheetViews>
    <sheetView showGridLines="0" view="pageLayout" zoomScale="55" zoomScaleNormal="100" zoomScalePageLayoutView="55" workbookViewId="0">
      <selection activeCell="D7" sqref="D7"/>
    </sheetView>
  </sheetViews>
  <sheetFormatPr defaultRowHeight="15" x14ac:dyDescent="0.25"/>
  <sheetData>
    <row r="1" spans="1:9" x14ac:dyDescent="0.25">
      <c r="A1" s="112" t="s">
        <v>13</v>
      </c>
      <c r="B1" s="112"/>
      <c r="C1" s="112"/>
      <c r="D1" s="11"/>
      <c r="E1" s="11"/>
      <c r="F1" s="11"/>
      <c r="G1" s="11"/>
      <c r="H1" s="11"/>
      <c r="I1" s="11"/>
    </row>
    <row r="2" spans="1:9" x14ac:dyDescent="0.25">
      <c r="A2" s="97" t="s">
        <v>3</v>
      </c>
      <c r="B2" s="97"/>
      <c r="C2" s="17"/>
      <c r="D2" s="97" t="s">
        <v>4</v>
      </c>
      <c r="E2" s="97"/>
      <c r="F2" s="97"/>
      <c r="G2" s="17"/>
      <c r="H2" s="17"/>
      <c r="I2" s="17"/>
    </row>
    <row r="3" spans="1:9" x14ac:dyDescent="0.25">
      <c r="A3" s="11" t="s">
        <v>18</v>
      </c>
      <c r="B3" s="11"/>
      <c r="C3" s="11"/>
      <c r="D3" s="12" t="s">
        <v>18</v>
      </c>
      <c r="E3" s="11"/>
      <c r="F3" s="11"/>
      <c r="G3" s="11"/>
      <c r="H3" s="11"/>
      <c r="I3" s="11"/>
    </row>
    <row r="4" spans="1:9" x14ac:dyDescent="0.25">
      <c r="A4" s="11"/>
      <c r="B4" s="11"/>
      <c r="C4" s="11"/>
      <c r="D4" s="11"/>
      <c r="E4" s="11"/>
      <c r="F4" s="11"/>
      <c r="G4" s="11"/>
      <c r="H4" s="11"/>
      <c r="I4" s="11"/>
    </row>
    <row r="5" spans="1:9" x14ac:dyDescent="0.25">
      <c r="A5" s="11"/>
      <c r="B5" s="11"/>
      <c r="C5" s="11"/>
      <c r="D5" s="11"/>
      <c r="E5" s="11"/>
      <c r="F5" s="11"/>
      <c r="G5" s="11"/>
      <c r="H5" s="11"/>
      <c r="I5" s="11"/>
    </row>
    <row r="6" spans="1:9" x14ac:dyDescent="0.25">
      <c r="A6" s="11"/>
      <c r="B6" s="11"/>
      <c r="C6" s="11"/>
      <c r="D6" s="11"/>
      <c r="E6" s="11"/>
      <c r="F6" s="11"/>
      <c r="G6" s="11"/>
      <c r="H6" s="11"/>
      <c r="I6" s="11"/>
    </row>
    <row r="7" spans="1:9" x14ac:dyDescent="0.25">
      <c r="A7" s="11"/>
      <c r="B7" s="11"/>
      <c r="C7" s="11"/>
      <c r="D7" s="11"/>
      <c r="E7" s="11"/>
      <c r="F7" s="11"/>
      <c r="G7" s="11"/>
      <c r="H7" s="11"/>
      <c r="I7" s="11"/>
    </row>
    <row r="8" spans="1:9" x14ac:dyDescent="0.25">
      <c r="A8" s="11"/>
      <c r="B8" s="11"/>
      <c r="C8" s="11"/>
      <c r="D8" s="11"/>
      <c r="E8" s="11"/>
      <c r="F8" s="11"/>
      <c r="G8" s="11"/>
      <c r="H8" s="11"/>
      <c r="I8" s="11"/>
    </row>
    <row r="9" spans="1:9" x14ac:dyDescent="0.25">
      <c r="A9" s="11"/>
      <c r="B9" s="11"/>
      <c r="C9" s="11"/>
      <c r="D9" s="11"/>
      <c r="E9" s="11"/>
      <c r="F9" s="11"/>
      <c r="G9" s="11"/>
      <c r="H9" s="11"/>
      <c r="I9" s="11"/>
    </row>
    <row r="10" spans="1:9" x14ac:dyDescent="0.25">
      <c r="A10" s="14"/>
      <c r="B10" s="14"/>
      <c r="C10" s="14"/>
      <c r="D10" s="14"/>
      <c r="E10" s="14"/>
      <c r="F10" s="14"/>
      <c r="G10" s="14"/>
      <c r="H10" s="14"/>
      <c r="I10" s="14"/>
    </row>
    <row r="11" spans="1:9" x14ac:dyDescent="0.25">
      <c r="A11" s="11"/>
      <c r="B11" s="11"/>
      <c r="C11" s="11"/>
      <c r="D11" s="11"/>
      <c r="E11" s="11"/>
      <c r="F11" s="11"/>
      <c r="G11" s="11"/>
      <c r="H11" s="11"/>
      <c r="I11" s="11"/>
    </row>
    <row r="12" spans="1:9" x14ac:dyDescent="0.25">
      <c r="A12" s="19"/>
      <c r="B12" s="19"/>
      <c r="C12" s="19"/>
      <c r="D12" s="19"/>
      <c r="E12" s="19"/>
      <c r="F12" s="19"/>
      <c r="G12" s="14"/>
      <c r="H12" s="14"/>
      <c r="I12" s="14"/>
    </row>
    <row r="13" spans="1:9" x14ac:dyDescent="0.25">
      <c r="A13" s="11"/>
      <c r="B13" s="11"/>
      <c r="C13" s="11"/>
      <c r="D13" s="11"/>
      <c r="E13" s="11"/>
      <c r="F13" s="11"/>
      <c r="G13" s="11"/>
      <c r="H13" s="11"/>
      <c r="I13" s="11"/>
    </row>
    <row r="14" spans="1:9" x14ac:dyDescent="0.25">
      <c r="A14" s="112" t="s">
        <v>24</v>
      </c>
      <c r="B14" s="112"/>
      <c r="C14" s="112"/>
      <c r="D14" s="11"/>
      <c r="E14" s="11"/>
      <c r="F14" s="11"/>
      <c r="G14" s="11"/>
      <c r="H14" s="11"/>
      <c r="I14" s="11"/>
    </row>
    <row r="15" spans="1:9" x14ac:dyDescent="0.25">
      <c r="A15" s="97" t="s">
        <v>3</v>
      </c>
      <c r="B15" s="97"/>
      <c r="C15" s="17"/>
      <c r="D15" s="113" t="s">
        <v>4</v>
      </c>
      <c r="E15" s="113"/>
      <c r="F15" s="113"/>
      <c r="G15" s="18"/>
      <c r="H15" s="18"/>
      <c r="I15" s="18"/>
    </row>
    <row r="16" spans="1:9" x14ac:dyDescent="0.25">
      <c r="A16" s="114" t="s">
        <v>21</v>
      </c>
      <c r="B16" s="114"/>
      <c r="C16" s="114"/>
      <c r="D16" s="115" t="s">
        <v>5</v>
      </c>
      <c r="E16" s="115"/>
      <c r="F16" s="115"/>
      <c r="G16" s="115"/>
      <c r="H16" s="115"/>
      <c r="I16" s="115"/>
    </row>
    <row r="17" spans="1:9" x14ac:dyDescent="0.25">
      <c r="A17" s="114"/>
      <c r="B17" s="114"/>
      <c r="C17" s="114"/>
      <c r="D17" s="116" t="s">
        <v>5</v>
      </c>
      <c r="E17" s="116"/>
      <c r="F17" s="116"/>
      <c r="G17" s="116"/>
      <c r="H17" s="116"/>
      <c r="I17" s="116"/>
    </row>
    <row r="18" spans="1:9" x14ac:dyDescent="0.25">
      <c r="A18" s="114"/>
      <c r="B18" s="114"/>
      <c r="C18" s="114"/>
      <c r="D18" s="116" t="s">
        <v>5</v>
      </c>
      <c r="E18" s="116"/>
      <c r="F18" s="116"/>
      <c r="G18" s="116"/>
      <c r="H18" s="116"/>
      <c r="I18" s="116"/>
    </row>
    <row r="19" spans="1:9" x14ac:dyDescent="0.25">
      <c r="A19" s="114"/>
      <c r="B19" s="114"/>
      <c r="C19" s="114"/>
      <c r="D19" s="117" t="s">
        <v>5</v>
      </c>
      <c r="E19" s="117"/>
      <c r="F19" s="117"/>
      <c r="G19" s="117"/>
      <c r="H19" s="117"/>
      <c r="I19" s="117"/>
    </row>
    <row r="20" spans="1:9" x14ac:dyDescent="0.25">
      <c r="A20" s="110" t="s">
        <v>27</v>
      </c>
      <c r="B20" s="110"/>
      <c r="C20" s="110"/>
      <c r="D20" s="111" t="s">
        <v>26</v>
      </c>
      <c r="E20" s="111"/>
      <c r="F20" s="111"/>
      <c r="G20" s="111"/>
      <c r="H20" s="111"/>
      <c r="I20" s="111"/>
    </row>
    <row r="21" spans="1:9" x14ac:dyDescent="0.25">
      <c r="A21" s="114" t="s">
        <v>22</v>
      </c>
      <c r="B21" s="114"/>
      <c r="C21" s="114"/>
      <c r="D21" s="118" t="s">
        <v>6</v>
      </c>
      <c r="E21" s="118"/>
      <c r="F21" s="118"/>
      <c r="G21" s="118"/>
      <c r="H21" s="118"/>
      <c r="I21" s="118"/>
    </row>
    <row r="22" spans="1:9" x14ac:dyDescent="0.25">
      <c r="A22" s="114"/>
      <c r="B22" s="114"/>
      <c r="C22" s="114"/>
      <c r="D22" s="116" t="s">
        <v>6</v>
      </c>
      <c r="E22" s="116"/>
      <c r="F22" s="116"/>
      <c r="G22" s="116"/>
      <c r="H22" s="116"/>
      <c r="I22" s="116"/>
    </row>
    <row r="23" spans="1:9" x14ac:dyDescent="0.25">
      <c r="A23" s="114"/>
      <c r="B23" s="114"/>
      <c r="C23" s="114"/>
      <c r="D23" s="116" t="s">
        <v>6</v>
      </c>
      <c r="E23" s="116"/>
      <c r="F23" s="116"/>
      <c r="G23" s="116"/>
      <c r="H23" s="116"/>
      <c r="I23" s="116"/>
    </row>
    <row r="24" spans="1:9" x14ac:dyDescent="0.25">
      <c r="A24" s="114"/>
      <c r="B24" s="114"/>
      <c r="C24" s="114"/>
      <c r="D24" s="117" t="s">
        <v>6</v>
      </c>
      <c r="E24" s="117"/>
      <c r="F24" s="117"/>
      <c r="G24" s="117"/>
      <c r="H24" s="117"/>
      <c r="I24" s="117"/>
    </row>
    <row r="25" spans="1:9" x14ac:dyDescent="0.25">
      <c r="A25" s="119" t="s">
        <v>19</v>
      </c>
      <c r="B25" s="119"/>
      <c r="C25" s="119"/>
      <c r="D25" s="118" t="s">
        <v>20</v>
      </c>
      <c r="E25" s="118"/>
      <c r="F25" s="118"/>
      <c r="G25" s="118"/>
      <c r="H25" s="118"/>
      <c r="I25" s="118"/>
    </row>
    <row r="26" spans="1:9" x14ac:dyDescent="0.25">
      <c r="A26" s="19"/>
      <c r="B26" s="19"/>
      <c r="C26" s="19"/>
      <c r="D26" s="36"/>
      <c r="E26" s="36"/>
      <c r="F26" s="36"/>
      <c r="G26" s="36"/>
      <c r="H26" s="36"/>
      <c r="I26" s="36"/>
    </row>
    <row r="27" spans="1:9" x14ac:dyDescent="0.25">
      <c r="A27" s="19"/>
      <c r="B27" s="19"/>
      <c r="C27" s="19"/>
      <c r="D27" s="36"/>
      <c r="E27" s="36"/>
      <c r="F27" s="36"/>
      <c r="G27" s="36"/>
      <c r="H27" s="36"/>
      <c r="I27" s="36"/>
    </row>
    <row r="28" spans="1:9" x14ac:dyDescent="0.25">
      <c r="A28" s="19"/>
      <c r="B28" s="19"/>
      <c r="C28" s="19"/>
      <c r="D28" s="36"/>
      <c r="E28" s="36"/>
      <c r="F28" s="36"/>
      <c r="G28" s="36"/>
      <c r="H28" s="36"/>
      <c r="I28" s="36"/>
    </row>
    <row r="29" spans="1:9" x14ac:dyDescent="0.25">
      <c r="A29" s="14"/>
      <c r="B29" s="14"/>
      <c r="C29" s="14"/>
      <c r="D29" s="14"/>
      <c r="E29" s="14"/>
      <c r="F29" s="14"/>
      <c r="G29" s="14"/>
      <c r="H29" s="14"/>
      <c r="I29" s="14"/>
    </row>
    <row r="30" spans="1:9" x14ac:dyDescent="0.25">
      <c r="A30" s="11"/>
      <c r="B30" s="11"/>
      <c r="C30" s="11"/>
      <c r="D30" s="11"/>
      <c r="E30" s="11"/>
      <c r="F30" s="11"/>
      <c r="G30" s="11"/>
      <c r="H30" s="11"/>
      <c r="I30" s="11"/>
    </row>
    <row r="31" spans="1:9" x14ac:dyDescent="0.25">
      <c r="A31" s="112" t="s">
        <v>14</v>
      </c>
      <c r="B31" s="112"/>
      <c r="C31" s="112"/>
      <c r="D31" s="112"/>
      <c r="E31" s="11"/>
      <c r="F31" s="11"/>
      <c r="G31" s="11"/>
      <c r="H31" s="11"/>
      <c r="I31" s="11"/>
    </row>
    <row r="32" spans="1:9" x14ac:dyDescent="0.25">
      <c r="A32" s="13" t="s">
        <v>24</v>
      </c>
      <c r="B32" s="13" t="s">
        <v>23</v>
      </c>
      <c r="C32" s="17"/>
      <c r="D32" s="97" t="s">
        <v>15</v>
      </c>
      <c r="E32" s="97"/>
      <c r="F32" s="97"/>
      <c r="G32" s="97"/>
      <c r="H32" s="18"/>
      <c r="I32" s="18"/>
    </row>
    <row r="33" spans="1:9" x14ac:dyDescent="0.25">
      <c r="A33" s="8" t="s">
        <v>16</v>
      </c>
      <c r="B33" s="8"/>
      <c r="C33" s="15"/>
      <c r="D33" s="20" t="s">
        <v>17</v>
      </c>
      <c r="E33" s="20"/>
      <c r="F33" s="20"/>
      <c r="G33" s="20"/>
      <c r="H33" s="20"/>
      <c r="I33" s="20"/>
    </row>
    <row r="34" spans="1:9" x14ac:dyDescent="0.25">
      <c r="A34" s="9" t="s">
        <v>16</v>
      </c>
      <c r="B34" s="9"/>
      <c r="C34" s="16"/>
      <c r="D34" s="21" t="s">
        <v>17</v>
      </c>
      <c r="E34" s="21"/>
      <c r="F34" s="21"/>
      <c r="G34" s="21"/>
      <c r="H34" s="21"/>
      <c r="I34" s="21"/>
    </row>
    <row r="35" spans="1:9" x14ac:dyDescent="0.25">
      <c r="A35" s="10"/>
      <c r="B35" s="10"/>
      <c r="C35" s="11"/>
      <c r="D35" s="11"/>
      <c r="E35" s="11"/>
      <c r="F35" s="11"/>
      <c r="G35" s="11"/>
      <c r="H35" s="11"/>
      <c r="I35" s="11"/>
    </row>
    <row r="36" spans="1:9" x14ac:dyDescent="0.25">
      <c r="A36" s="10"/>
      <c r="B36" s="10"/>
      <c r="C36" s="11"/>
      <c r="D36" s="11"/>
      <c r="E36" s="11"/>
      <c r="F36" s="11"/>
      <c r="G36" s="11"/>
      <c r="H36" s="11"/>
      <c r="I36" s="11"/>
    </row>
    <row r="37" spans="1:9" x14ac:dyDescent="0.25">
      <c r="A37" s="10"/>
      <c r="B37" s="10"/>
      <c r="C37" s="11"/>
      <c r="D37" s="11"/>
      <c r="E37" s="11"/>
      <c r="F37" s="11"/>
      <c r="G37" s="11"/>
      <c r="H37" s="11"/>
      <c r="I37" s="11"/>
    </row>
    <row r="38" spans="1:9" x14ac:dyDescent="0.25">
      <c r="A38" s="10"/>
      <c r="B38" s="10"/>
      <c r="C38" s="11"/>
      <c r="D38" s="11"/>
      <c r="E38" s="11"/>
      <c r="F38" s="11"/>
      <c r="G38" s="11"/>
      <c r="H38" s="11"/>
      <c r="I38" s="11"/>
    </row>
    <row r="39" spans="1:9" x14ac:dyDescent="0.25">
      <c r="A39" s="10"/>
      <c r="B39" s="10"/>
      <c r="C39" s="11"/>
      <c r="D39" s="11"/>
      <c r="E39" s="11"/>
      <c r="F39" s="11"/>
      <c r="G39" s="11"/>
      <c r="H39" s="11"/>
      <c r="I39" s="11"/>
    </row>
    <row r="40" spans="1:9" x14ac:dyDescent="0.25">
      <c r="A40" s="22"/>
      <c r="B40" s="22"/>
      <c r="C40" s="22"/>
      <c r="D40" s="22"/>
      <c r="E40" s="22"/>
      <c r="F40" s="22"/>
      <c r="G40" s="22"/>
      <c r="H40" s="22"/>
      <c r="I40" s="22"/>
    </row>
    <row r="41" spans="1:9" x14ac:dyDescent="0.25">
      <c r="A41" s="22"/>
      <c r="B41" s="22"/>
      <c r="C41" s="22"/>
      <c r="D41" s="22"/>
      <c r="E41" s="22"/>
      <c r="F41" s="22"/>
      <c r="G41" s="22"/>
      <c r="H41" s="22"/>
      <c r="I41" s="22"/>
    </row>
    <row r="42" spans="1:9" x14ac:dyDescent="0.25">
      <c r="A42" s="22"/>
      <c r="B42" s="22"/>
      <c r="C42" s="22"/>
      <c r="D42" s="22"/>
      <c r="E42" s="22"/>
      <c r="F42" s="22"/>
      <c r="G42" s="22"/>
      <c r="H42" s="22"/>
      <c r="I42" s="22"/>
    </row>
    <row r="43" spans="1:9" x14ac:dyDescent="0.25">
      <c r="A43" s="22"/>
      <c r="B43" s="22"/>
      <c r="C43" s="22"/>
      <c r="D43" s="22"/>
      <c r="E43" s="22"/>
      <c r="F43" s="22"/>
      <c r="G43" s="22"/>
      <c r="H43" s="22"/>
      <c r="I43" s="22"/>
    </row>
    <row r="44" spans="1:9" x14ac:dyDescent="0.25">
      <c r="A44" s="22"/>
      <c r="B44" s="22"/>
      <c r="C44" s="22"/>
      <c r="D44" s="22"/>
      <c r="E44" s="22"/>
      <c r="F44" s="22"/>
      <c r="G44" s="22"/>
      <c r="H44" s="22"/>
      <c r="I44" s="22"/>
    </row>
    <row r="45" spans="1:9" x14ac:dyDescent="0.25">
      <c r="A45" s="22"/>
      <c r="B45" s="22"/>
      <c r="C45" s="22"/>
      <c r="D45" s="22"/>
      <c r="E45" s="22"/>
      <c r="F45" s="22"/>
      <c r="G45" s="22"/>
      <c r="H45" s="22"/>
      <c r="I45" s="22"/>
    </row>
  </sheetData>
  <mergeCells count="22">
    <mergeCell ref="A31:D31"/>
    <mergeCell ref="D32:G32"/>
    <mergeCell ref="A21:C24"/>
    <mergeCell ref="D21:I21"/>
    <mergeCell ref="D22:I22"/>
    <mergeCell ref="D23:I23"/>
    <mergeCell ref="D24:I24"/>
    <mergeCell ref="A25:C25"/>
    <mergeCell ref="D25:I25"/>
    <mergeCell ref="A20:C20"/>
    <mergeCell ref="D20:I20"/>
    <mergeCell ref="A1:C1"/>
    <mergeCell ref="A2:B2"/>
    <mergeCell ref="D2:F2"/>
    <mergeCell ref="A14:C14"/>
    <mergeCell ref="A15:B15"/>
    <mergeCell ref="D15:F15"/>
    <mergeCell ref="A16:C19"/>
    <mergeCell ref="D16:I16"/>
    <mergeCell ref="D17:I17"/>
    <mergeCell ref="D18:I18"/>
    <mergeCell ref="D19:I19"/>
  </mergeCells>
  <pageMargins left="0.7" right="0.7" top="0.75" bottom="0.75" header="0.3" footer="0.3"/>
  <pageSetup paperSize="9" orientation="portrait" r:id="rId1"/>
  <headerFooter>
    <oddHeader>&amp;L&amp;"-,Bold"Environment and tools</oddHeader>
    <oddFooter>&amp;L&amp;9&amp;D
Doc ID: &amp;F&amp;C&amp;P/&amp;N&amp;R
LIEBHERR MACHINES BULLE SA</oddFooter>
  </headerFooter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ndsWith" priority="8" operator="endsWith" id="{1DF81374-0F5A-4AC6-8354-54687B89E0AE}">
            <xm:f>RIGHT(D21,LEN("]"))="]"</xm:f>
            <xm:f>"]"</xm:f>
            <x14:dxf>
              <font>
                <color rgb="FFFF0000"/>
              </font>
            </x14:dxf>
          </x14:cfRule>
          <xm:sqref>D25:D28 D21</xm:sqref>
        </x14:conditionalFormatting>
        <x14:conditionalFormatting xmlns:xm="http://schemas.microsoft.com/office/excel/2006/main">
          <x14:cfRule type="endsWith" priority="7" operator="endsWith" id="{8621AE6E-CB14-4C4F-B093-45E1A437C63D}">
            <xm:f>RIGHT(D17,LEN("]"))="]"</xm:f>
            <xm:f>"]"</xm:f>
            <x14:dxf>
              <font>
                <color rgb="FFFF0000"/>
              </font>
            </x14:dxf>
          </x14:cfRule>
          <xm:sqref>D17</xm:sqref>
        </x14:conditionalFormatting>
        <x14:conditionalFormatting xmlns:xm="http://schemas.microsoft.com/office/excel/2006/main">
          <x14:cfRule type="endsWith" priority="6" operator="endsWith" id="{E2991C16-9E2A-425F-8BDE-D71D9365CD77}">
            <xm:f>RIGHT(D18,LEN("]"))="]"</xm:f>
            <xm:f>"]"</xm:f>
            <x14:dxf>
              <font>
                <color rgb="FFFF0000"/>
              </font>
            </x14:dxf>
          </x14:cfRule>
          <xm:sqref>D18</xm:sqref>
        </x14:conditionalFormatting>
        <x14:conditionalFormatting xmlns:xm="http://schemas.microsoft.com/office/excel/2006/main">
          <x14:cfRule type="endsWith" priority="5" operator="endsWith" id="{A535E324-B044-436C-89E4-43C862DEBAEB}">
            <xm:f>RIGHT(D19,LEN("]"))="]"</xm:f>
            <xm:f>"]"</xm:f>
            <x14:dxf>
              <font>
                <color rgb="FFFF0000"/>
              </font>
            </x14:dxf>
          </x14:cfRule>
          <xm:sqref>D19</xm:sqref>
        </x14:conditionalFormatting>
        <x14:conditionalFormatting xmlns:xm="http://schemas.microsoft.com/office/excel/2006/main">
          <x14:cfRule type="endsWith" priority="4" operator="endsWith" id="{5D73B0C4-2D97-4C9C-922E-8F45FF9D3806}">
            <xm:f>RIGHT(D22,LEN("]"))="]"</xm:f>
            <xm:f>"]"</xm:f>
            <x14:dxf>
              <font>
                <color rgb="FFFF0000"/>
              </font>
            </x14:dxf>
          </x14:cfRule>
          <xm:sqref>D22</xm:sqref>
        </x14:conditionalFormatting>
        <x14:conditionalFormatting xmlns:xm="http://schemas.microsoft.com/office/excel/2006/main">
          <x14:cfRule type="endsWith" priority="3" operator="endsWith" id="{90426D53-2F07-4C39-884F-BB1B841DA9D3}">
            <xm:f>RIGHT(D23,LEN("]"))="]"</xm:f>
            <xm:f>"]"</xm:f>
            <x14:dxf>
              <font>
                <color rgb="FFFF0000"/>
              </font>
            </x14:dxf>
          </x14:cfRule>
          <xm:sqref>D23</xm:sqref>
        </x14:conditionalFormatting>
        <x14:conditionalFormatting xmlns:xm="http://schemas.microsoft.com/office/excel/2006/main">
          <x14:cfRule type="endsWith" priority="2" operator="endsWith" id="{7AE731AC-E620-4B60-9716-4CF825612AA2}">
            <xm:f>RIGHT(D24,LEN("]"))="]"</xm:f>
            <xm:f>"]"</xm:f>
            <x14:dxf>
              <font>
                <color rgb="FFFF0000"/>
              </font>
            </x14:dxf>
          </x14:cfRule>
          <xm:sqref>D24</xm:sqref>
        </x14:conditionalFormatting>
        <x14:conditionalFormatting xmlns:xm="http://schemas.microsoft.com/office/excel/2006/main">
          <x14:cfRule type="endsWith" priority="1" operator="endsWith" id="{D11425DF-981D-48BB-83F0-0307EB975638}">
            <xm:f>RIGHT(D20,LEN("]"))="]"</xm:f>
            <xm:f>"]"</xm:f>
            <x14:dxf>
              <font>
                <color rgb="FFFF0000"/>
              </font>
            </x14:dxf>
          </x14:cfRule>
          <xm:sqref>D20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D0CAD9F023F4A4FAEC0DB800249A8B2" ma:contentTypeVersion="0" ma:contentTypeDescription="Create a new document." ma:contentTypeScope="" ma:versionID="af7d5321395de8b4892a1f99ee880f19">
  <xsd:schema xmlns:xsd="http://www.w3.org/2001/XMLSchema" xmlns:xs="http://www.w3.org/2001/XMLSchema" xmlns:p="http://schemas.microsoft.com/office/2006/metadata/properties" xmlns:ns2="b047175d-a73c-4fde-ad32-baf840519848" targetNamespace="http://schemas.microsoft.com/office/2006/metadata/properties" ma:root="true" ma:fieldsID="6f76a741e5c2824699bc6a6f55083540" ns2:_="">
    <xsd:import namespace="b047175d-a73c-4fde-ad32-baf840519848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047175d-a73c-4fde-ad32-baf840519848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Assembly>Microsoft.Office.DocumentManagement, Version=14.0.0.0,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b047175d-a73c-4fde-ad32-baf840519848">LMBAC-66-3380</_dlc_DocId>
    <_dlc_DocIdUrl xmlns="b047175d-a73c-4fde-ad32-baf840519848">
      <Url>https://lmbweb.liebherr.i/team/WS5/Shared/HIL/_layouts/15/DocIdRedir.aspx?ID=LMBAC-66-3380</Url>
      <Description>LMBAC-66-3380</Description>
    </_dlc_DocIdUrl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67B0ED6-3547-4611-903F-4822D0ABB3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047175d-a73c-4fde-ad32-baf84051984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75DEB42-4B13-42FF-AF2E-B242A3A0483F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2CEEB9B3-0DFF-4823-B91A-692D6F97DE82}">
  <ds:schemaRefs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b047175d-a73c-4fde-ad32-baf840519848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FFEF956D-7088-438D-B21C-94352A550DE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_Summary</vt:lpstr>
      <vt:lpstr>Release note</vt:lpstr>
      <vt:lpstr>Environment and tools</vt:lpstr>
      <vt:lpstr>_Summary!Print_Area</vt:lpstr>
      <vt:lpstr>'Release note'!Print_Area</vt:lpstr>
      <vt:lpstr>_Summary!Print_Titles</vt:lpstr>
    </vt:vector>
  </TitlesOfParts>
  <Company>Liebherr Machines Bulle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Cereghetti Alex (LMB)</dc:creator>
  <cp:lastModifiedBy>Cereghetti Alex (LMB)</cp:lastModifiedBy>
  <cp:lastPrinted>2020-02-10T14:40:18Z</cp:lastPrinted>
  <dcterms:created xsi:type="dcterms:W3CDTF">2016-04-06T11:25:08Z</dcterms:created>
  <dcterms:modified xsi:type="dcterms:W3CDTF">2020-03-16T16:21:55Z</dcterms:modified>
  <cp:category>for internal use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0x010100BD0CAD9F023F4A4FAEC0DB800249A8B2</vt:lpwstr>
  </property>
  <property fmtid="{D5CDD505-2E9C-101B-9397-08002B2CF9AE}" pid="3" name="_dlc_DocIdItemGuid">
    <vt:lpwstr>41bf5ef3-8cc2-41e1-8f63-fb19338d89a7</vt:lpwstr>
  </property>
  <property fmtid="{D5CDD505-2E9C-101B-9397-08002B2CF9AE}" pid="4" name="Classification">
    <vt:lpwstr>for internal use</vt:lpwstr>
  </property>
</Properties>
</file>